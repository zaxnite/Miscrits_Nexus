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51196F13-6AD0-C1B8-E2B4-A1F9AE17003E}"/>
  <workbookPr filterPrivacy="1" codeName="EsteLivro"/>
  <xr:revisionPtr revIDLastSave="0" documentId="13_ncr:1_{17B903F7-700C-4E09-94CF-27F2805BABE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1" l="1"/>
  <c r="H19" i="1"/>
  <c r="G19" i="1"/>
  <c r="F19" i="1"/>
  <c r="E19" i="1"/>
  <c r="D19" i="1"/>
  <c r="AM30" i="1"/>
  <c r="AK30" i="1"/>
  <c r="AL30" i="1"/>
  <c r="AN30" i="1" l="1"/>
  <c r="I20" i="1"/>
  <c r="H20" i="1"/>
  <c r="G20" i="1"/>
  <c r="F20" i="1"/>
  <c r="E20" i="1"/>
  <c r="D20" i="1"/>
  <c r="I18" i="1"/>
  <c r="H18" i="1"/>
  <c r="G18" i="1"/>
  <c r="F18" i="1"/>
  <c r="E18" i="1"/>
  <c r="D18" i="1"/>
  <c r="I17" i="1"/>
  <c r="H17" i="1"/>
  <c r="G17" i="1"/>
  <c r="F17" i="1"/>
  <c r="E17" i="1"/>
  <c r="D17" i="1"/>
  <c r="D23" i="1" l="1"/>
  <c r="E23" i="1"/>
  <c r="F23" i="1"/>
  <c r="G23" i="1"/>
  <c r="H23" i="1"/>
  <c r="I23" i="1"/>
  <c r="AY3" i="1"/>
  <c r="AZ3" i="1"/>
  <c r="AY4" i="1"/>
  <c r="AZ4" i="1"/>
  <c r="AY5" i="1"/>
  <c r="AZ5" i="1"/>
  <c r="AY6" i="1"/>
  <c r="AZ6" i="1"/>
  <c r="AY7" i="1"/>
  <c r="AZ7" i="1"/>
  <c r="AY8" i="1"/>
  <c r="AZ8" i="1"/>
  <c r="AY9" i="1"/>
  <c r="AZ9" i="1"/>
  <c r="BA9" i="1" s="1"/>
  <c r="AY10" i="1"/>
  <c r="AZ10" i="1"/>
  <c r="AY11" i="1"/>
  <c r="AZ11" i="1"/>
  <c r="AY12" i="1"/>
  <c r="AZ12" i="1"/>
  <c r="AY13" i="1"/>
  <c r="AZ13" i="1"/>
  <c r="AY14" i="1"/>
  <c r="AZ14" i="1"/>
  <c r="AY15" i="1"/>
  <c r="AZ15" i="1"/>
  <c r="AZ2" i="1"/>
  <c r="AY2" i="1"/>
  <c r="AL3" i="1"/>
  <c r="AM3" i="1"/>
  <c r="AL4" i="1"/>
  <c r="AM4" i="1"/>
  <c r="AL5" i="1"/>
  <c r="AM5" i="1"/>
  <c r="AL6" i="1"/>
  <c r="AM6" i="1"/>
  <c r="AL7" i="1"/>
  <c r="AM7" i="1"/>
  <c r="AN7" i="1" s="1"/>
  <c r="AL8" i="1"/>
  <c r="AM8" i="1"/>
  <c r="AL9" i="1"/>
  <c r="AM9" i="1"/>
  <c r="AL10" i="1"/>
  <c r="AM10" i="1"/>
  <c r="AL11" i="1"/>
  <c r="AM11" i="1"/>
  <c r="AL12" i="1"/>
  <c r="AM12" i="1"/>
  <c r="AL13" i="1"/>
  <c r="AM13" i="1"/>
  <c r="AL14" i="1"/>
  <c r="AM14" i="1"/>
  <c r="AL15" i="1"/>
  <c r="AM15" i="1"/>
  <c r="AL16" i="1"/>
  <c r="AM16" i="1"/>
  <c r="AL17" i="1"/>
  <c r="AM17" i="1"/>
  <c r="AL18" i="1"/>
  <c r="AM18" i="1"/>
  <c r="AL19" i="1"/>
  <c r="AM19" i="1"/>
  <c r="AN19" i="1" s="1"/>
  <c r="AL20" i="1"/>
  <c r="AM20" i="1"/>
  <c r="AL21" i="1"/>
  <c r="AM21" i="1"/>
  <c r="AL22" i="1"/>
  <c r="AM22" i="1"/>
  <c r="AL23" i="1"/>
  <c r="AM23" i="1"/>
  <c r="AL24" i="1"/>
  <c r="AM24" i="1"/>
  <c r="AL25" i="1"/>
  <c r="AM25" i="1"/>
  <c r="AL26" i="1"/>
  <c r="AM26" i="1"/>
  <c r="AL27" i="1"/>
  <c r="AM27" i="1"/>
  <c r="AL28" i="1"/>
  <c r="AM28" i="1"/>
  <c r="AL29" i="1"/>
  <c r="AM29" i="1"/>
  <c r="AM2" i="1"/>
  <c r="AL2" i="1"/>
  <c r="AK2" i="1"/>
  <c r="K3" i="1"/>
  <c r="L3" i="1"/>
  <c r="K4" i="1"/>
  <c r="L4" i="1"/>
  <c r="K5" i="1"/>
  <c r="L5" i="1"/>
  <c r="K6" i="1"/>
  <c r="L6" i="1"/>
  <c r="M6" i="1" s="1"/>
  <c r="K7" i="1"/>
  <c r="L7" i="1"/>
  <c r="K8" i="1"/>
  <c r="L8" i="1"/>
  <c r="M8" i="1" s="1"/>
  <c r="K9" i="1"/>
  <c r="L9" i="1"/>
  <c r="K10" i="1"/>
  <c r="L10" i="1"/>
  <c r="K11" i="1"/>
  <c r="L11" i="1"/>
  <c r="M11" i="1" s="1"/>
  <c r="K12" i="1"/>
  <c r="L12" i="1"/>
  <c r="M12" i="1" s="1"/>
  <c r="K13" i="1"/>
  <c r="L13" i="1"/>
  <c r="L2" i="1"/>
  <c r="K2" i="1"/>
  <c r="Y3" i="1"/>
  <c r="Z3" i="1"/>
  <c r="Y4" i="1"/>
  <c r="Z4" i="1"/>
  <c r="Y5" i="1"/>
  <c r="Z5" i="1"/>
  <c r="Y6" i="1"/>
  <c r="Z6" i="1"/>
  <c r="Y7" i="1"/>
  <c r="Z7" i="1"/>
  <c r="Y8" i="1"/>
  <c r="Z8" i="1"/>
  <c r="AA8" i="1" s="1"/>
  <c r="Y9" i="1"/>
  <c r="Z9" i="1"/>
  <c r="Y10" i="1"/>
  <c r="Z10" i="1"/>
  <c r="Y11" i="1"/>
  <c r="Z11" i="1"/>
  <c r="AA11" i="1" s="1"/>
  <c r="Y12" i="1"/>
  <c r="Z12" i="1"/>
  <c r="Y13" i="1"/>
  <c r="Z13" i="1"/>
  <c r="Y14" i="1"/>
  <c r="Z14" i="1"/>
  <c r="AA14" i="1" s="1"/>
  <c r="Y15" i="1"/>
  <c r="Z15" i="1"/>
  <c r="Y16" i="1"/>
  <c r="Z16" i="1"/>
  <c r="Y17" i="1"/>
  <c r="Z17" i="1"/>
  <c r="Y18" i="1"/>
  <c r="Z18" i="1"/>
  <c r="AA18" i="1" s="1"/>
  <c r="Y19" i="1"/>
  <c r="Z19" i="1"/>
  <c r="Y20" i="1"/>
  <c r="Z20" i="1"/>
  <c r="AA20" i="1" s="1"/>
  <c r="Z2" i="1"/>
  <c r="AA2" i="1" s="1"/>
  <c r="Y2" i="1"/>
  <c r="J3" i="1"/>
  <c r="J4" i="1"/>
  <c r="J5" i="1"/>
  <c r="J6" i="1"/>
  <c r="J7" i="1"/>
  <c r="J8" i="1"/>
  <c r="J9" i="1"/>
  <c r="J10" i="1"/>
  <c r="J11" i="1"/>
  <c r="J12" i="1"/>
  <c r="J13" i="1"/>
  <c r="J2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" i="1"/>
  <c r="AN26" i="1" l="1"/>
  <c r="AN14" i="1"/>
  <c r="BA4" i="1"/>
  <c r="AN29" i="1"/>
  <c r="AN25" i="1"/>
  <c r="AN17" i="1"/>
  <c r="AN13" i="1"/>
  <c r="AN5" i="1"/>
  <c r="BA15" i="1"/>
  <c r="BA3" i="1"/>
  <c r="AN28" i="1"/>
  <c r="AN20" i="1"/>
  <c r="AN16" i="1"/>
  <c r="AN8" i="1"/>
  <c r="AN4" i="1"/>
  <c r="BA10" i="1"/>
  <c r="AN2" i="1"/>
  <c r="AA6" i="1"/>
  <c r="AN12" i="1"/>
  <c r="M10" i="1"/>
  <c r="AN24" i="1"/>
  <c r="AA17" i="1"/>
  <c r="AA13" i="1"/>
  <c r="M5" i="1"/>
  <c r="AN27" i="1"/>
  <c r="M2" i="1"/>
  <c r="AN18" i="1"/>
  <c r="AN6" i="1"/>
  <c r="AA19" i="1"/>
  <c r="AA7" i="1"/>
  <c r="M13" i="1"/>
  <c r="M7" i="1"/>
  <c r="AN23" i="1"/>
  <c r="AN11" i="1"/>
  <c r="BA13" i="1"/>
  <c r="BA7" i="1"/>
  <c r="AA12" i="1"/>
  <c r="AN22" i="1"/>
  <c r="AN10" i="1"/>
  <c r="BA12" i="1"/>
  <c r="AA5" i="1"/>
  <c r="AN21" i="1"/>
  <c r="AN15" i="1"/>
  <c r="AN9" i="1"/>
  <c r="AN3" i="1"/>
  <c r="BA11" i="1"/>
  <c r="BA5" i="1"/>
  <c r="AA16" i="1"/>
  <c r="AA10" i="1"/>
  <c r="AA4" i="1"/>
  <c r="M4" i="1"/>
  <c r="AA15" i="1"/>
  <c r="AA9" i="1"/>
  <c r="AA3" i="1"/>
  <c r="M9" i="1"/>
  <c r="M3" i="1"/>
  <c r="BA2" i="1"/>
  <c r="BA6" i="1"/>
  <c r="BA14" i="1"/>
  <c r="BA8" i="1"/>
</calcChain>
</file>

<file path=xl/sharedStrings.xml><?xml version="1.0" encoding="utf-8"?>
<sst xmlns="http://schemas.openxmlformats.org/spreadsheetml/2006/main" count="136" uniqueCount="93">
  <si>
    <t>Name</t>
  </si>
  <si>
    <t>HP</t>
  </si>
  <si>
    <t>SPD</t>
  </si>
  <si>
    <t>EA</t>
  </si>
  <si>
    <t>PA</t>
  </si>
  <si>
    <t>ED</t>
  </si>
  <si>
    <t>PD</t>
  </si>
  <si>
    <t>Pos</t>
  </si>
  <si>
    <t>Neg</t>
  </si>
  <si>
    <t>Cane</t>
  </si>
  <si>
    <t>Slippers</t>
  </si>
  <si>
    <t>Pollen</t>
  </si>
  <si>
    <t>Flower</t>
  </si>
  <si>
    <t>Quartex</t>
  </si>
  <si>
    <t>Frost</t>
  </si>
  <si>
    <t>Gemma</t>
  </si>
  <si>
    <t>Shores</t>
  </si>
  <si>
    <t>Monk's</t>
  </si>
  <si>
    <t>Forest</t>
  </si>
  <si>
    <t>Volcano</t>
  </si>
  <si>
    <t>Bells</t>
  </si>
  <si>
    <t>Scales</t>
  </si>
  <si>
    <t>Explosion</t>
  </si>
  <si>
    <t>Despair</t>
  </si>
  <si>
    <t>Jungle</t>
  </si>
  <si>
    <t>Claws</t>
  </si>
  <si>
    <t>Log</t>
  </si>
  <si>
    <t>Hammer</t>
  </si>
  <si>
    <t>Shield</t>
  </si>
  <si>
    <t>Gem</t>
  </si>
  <si>
    <t>Lava</t>
  </si>
  <si>
    <t>Stalk</t>
  </si>
  <si>
    <t>Robe</t>
  </si>
  <si>
    <t>Nero</t>
  </si>
  <si>
    <t>Stats</t>
  </si>
  <si>
    <t>Value</t>
  </si>
  <si>
    <t>Talon</t>
  </si>
  <si>
    <t>Nightmare</t>
  </si>
  <si>
    <t>Cactus</t>
  </si>
  <si>
    <t>Snowball</t>
  </si>
  <si>
    <t>Map</t>
  </si>
  <si>
    <t>Echino</t>
  </si>
  <si>
    <t>Fractured</t>
  </si>
  <si>
    <t>Soul</t>
  </si>
  <si>
    <t>Warro</t>
  </si>
  <si>
    <t>Temple</t>
  </si>
  <si>
    <t>Staff</t>
  </si>
  <si>
    <t>Peepsie</t>
  </si>
  <si>
    <t>Truncherous</t>
  </si>
  <si>
    <t>Mushles</t>
  </si>
  <si>
    <t>Shacklers</t>
  </si>
  <si>
    <t>Antlers</t>
  </si>
  <si>
    <t>Nanaslug</t>
  </si>
  <si>
    <t>Teeth</t>
  </si>
  <si>
    <t>Patchkins</t>
  </si>
  <si>
    <t>Tiki</t>
  </si>
  <si>
    <t>Swords</t>
  </si>
  <si>
    <t>Pebble</t>
  </si>
  <si>
    <t>Arrow</t>
  </si>
  <si>
    <t>Shard</t>
  </si>
  <si>
    <t>Bauble</t>
  </si>
  <si>
    <t>Shard of Dawn</t>
  </si>
  <si>
    <t>Gatestone</t>
  </si>
  <si>
    <t>Moonrock</t>
  </si>
  <si>
    <t>Carpet</t>
  </si>
  <si>
    <t>Cog</t>
  </si>
  <si>
    <t>Trident</t>
  </si>
  <si>
    <t>Cage</t>
  </si>
  <si>
    <t>Frozen</t>
  </si>
  <si>
    <t>Molten</t>
  </si>
  <si>
    <t>Dragon Egg</t>
  </si>
  <si>
    <t>Mama Baby</t>
  </si>
  <si>
    <t>Leggy</t>
  </si>
  <si>
    <t>Winds Venom</t>
  </si>
  <si>
    <t>Scent</t>
  </si>
  <si>
    <t>Charcoal</t>
  </si>
  <si>
    <t>Monastery</t>
  </si>
  <si>
    <t>Gold Die</t>
  </si>
  <si>
    <t>Lvl 10</t>
  </si>
  <si>
    <t>Lvl 20</t>
  </si>
  <si>
    <t>Lvl 30</t>
  </si>
  <si>
    <t>Lvl 35</t>
  </si>
  <si>
    <t>Your Miscrit</t>
  </si>
  <si>
    <t>Total Stats</t>
  </si>
  <si>
    <t>Shackle</t>
  </si>
  <si>
    <t xml:space="preserve"> </t>
  </si>
  <si>
    <t>Woodsman's Axe Head</t>
  </si>
  <si>
    <t>Lake Azore Pearl</t>
  </si>
  <si>
    <t>Cloud Cake</t>
  </si>
  <si>
    <t>Dark Owlie Feather</t>
  </si>
  <si>
    <t>Eternal Falls Mushroom</t>
  </si>
  <si>
    <t>Skelepup's Spark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</si>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</sst>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6" tint="0.79998168889431442"/>
      <name val="Calibri"/>
      <family val="2"/>
      <scheme val="minor"/>
    </font>
    <font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9" tint="0.40000610370189521"/>
        </stop>
        <stop position="1">
          <color theme="0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40000610370189521"/>
        </stop>
      </gradient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DA1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3029" y="174171"/>
          <a:ext cx="326571" cy="304800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365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7315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0</xdr:colOff>
      <xdr:row>6</xdr:row>
      <xdr:rowOff>0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sp macro="" textlink="">
      <xdr:nvSpPr>
        <xdr:cNvPr id="13" name="Retângulo arredond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sp macro="" textlink="">
      <xdr:nvSpPr>
        <xdr:cNvPr id="14" name="Retângulo arredondad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sp macro="" textlink="">
      <xdr:nvSpPr>
        <xdr:cNvPr id="15" name="Retângulo arredond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8964</xdr:colOff>
      <xdr:row>1</xdr:row>
      <xdr:rowOff>0</xdr:rowOff>
    </xdr:from>
    <xdr:to>
      <xdr:col>16</xdr:col>
      <xdr:colOff>8964</xdr:colOff>
      <xdr:row>2</xdr:row>
      <xdr:rowOff>0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966446" y="179294"/>
          <a:ext cx="331694" cy="304800"/>
        </a:xfrm>
        <a:prstGeom prst="roundRect">
          <a:avLst/>
        </a:prstGeom>
        <a:blipFill dpi="0"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7</xdr:row>
      <xdr:rowOff>0</xdr:rowOff>
    </xdr:from>
    <xdr:to>
      <xdr:col>16</xdr:col>
      <xdr:colOff>0</xdr:colOff>
      <xdr:row>8</xdr:row>
      <xdr:rowOff>0</xdr:rowOff>
    </xdr:to>
    <xdr:sp macro="" textlink="">
      <xdr:nvSpPr>
        <xdr:cNvPr id="18" name="Retângulo arredond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18160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19" name="Retângulo arredondad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sp macro="" textlink="">
      <xdr:nvSpPr>
        <xdr:cNvPr id="20" name="Retângulo arredondad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181600" y="34747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19</xdr:row>
      <xdr:rowOff>0</xdr:rowOff>
    </xdr:to>
    <xdr:sp macro="" textlink="">
      <xdr:nvSpPr>
        <xdr:cNvPr id="21" name="Retângulo arredondad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181600" y="32918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16</xdr:col>
      <xdr:colOff>0</xdr:colOff>
      <xdr:row>18</xdr:row>
      <xdr:rowOff>0</xdr:rowOff>
    </xdr:to>
    <xdr:sp macro="" textlink="">
      <xdr:nvSpPr>
        <xdr:cNvPr id="22" name="Retângulo arredond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181600" y="31089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16</xdr:col>
      <xdr:colOff>0</xdr:colOff>
      <xdr:row>17</xdr:row>
      <xdr:rowOff>0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181600" y="29260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15</xdr:row>
      <xdr:rowOff>0</xdr:rowOff>
    </xdr:from>
    <xdr:to>
      <xdr:col>16</xdr:col>
      <xdr:colOff>0</xdr:colOff>
      <xdr:row>16</xdr:row>
      <xdr:rowOff>0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181600" y="27432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16</xdr:col>
      <xdr:colOff>0</xdr:colOff>
      <xdr:row>15</xdr:row>
      <xdr:rowOff>0</xdr:rowOff>
    </xdr:to>
    <xdr:sp macro="" textlink="">
      <xdr:nvSpPr>
        <xdr:cNvPr id="25" name="Retângulo arredondad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181600" y="25603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13</xdr:row>
      <xdr:rowOff>0</xdr:rowOff>
    </xdr:from>
    <xdr:to>
      <xdr:col>16</xdr:col>
      <xdr:colOff>0</xdr:colOff>
      <xdr:row>14</xdr:row>
      <xdr:rowOff>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181600" y="23774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16</xdr:col>
      <xdr:colOff>0</xdr:colOff>
      <xdr:row>13</xdr:row>
      <xdr:rowOff>0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18160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11</xdr:row>
      <xdr:rowOff>0</xdr:rowOff>
    </xdr:from>
    <xdr:to>
      <xdr:col>16</xdr:col>
      <xdr:colOff>0</xdr:colOff>
      <xdr:row>12</xdr:row>
      <xdr:rowOff>0</xdr:rowOff>
    </xdr:to>
    <xdr:sp macro="" textlink="">
      <xdr:nvSpPr>
        <xdr:cNvPr id="28" name="Retângulo arredondad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18160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0</xdr:colOff>
      <xdr:row>11</xdr:row>
      <xdr:rowOff>0</xdr:rowOff>
    </xdr:to>
    <xdr:sp macro="" textlink="">
      <xdr:nvSpPr>
        <xdr:cNvPr id="29" name="Retângulo arredondad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18160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sp macro="" textlink="">
      <xdr:nvSpPr>
        <xdr:cNvPr id="30" name="Retângulo arredond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518160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16</xdr:col>
      <xdr:colOff>0</xdr:colOff>
      <xdr:row>9</xdr:row>
      <xdr:rowOff>0</xdr:rowOff>
    </xdr:to>
    <xdr:sp macro="" textlink="">
      <xdr:nvSpPr>
        <xdr:cNvPr id="31" name="Retângulo arredondad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18160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6</xdr:row>
      <xdr:rowOff>0</xdr:rowOff>
    </xdr:from>
    <xdr:to>
      <xdr:col>16</xdr:col>
      <xdr:colOff>0</xdr:colOff>
      <xdr:row>7</xdr:row>
      <xdr:rowOff>0</xdr:rowOff>
    </xdr:to>
    <xdr:sp macro="" textlink="">
      <xdr:nvSpPr>
        <xdr:cNvPr id="32" name="Retângulo arredondad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18160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16</xdr:col>
      <xdr:colOff>0</xdr:colOff>
      <xdr:row>6</xdr:row>
      <xdr:rowOff>0</xdr:rowOff>
    </xdr:to>
    <xdr:sp macro="" textlink="">
      <xdr:nvSpPr>
        <xdr:cNvPr id="33" name="Retângulo arredond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18160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4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34" name="Retângulo arredondad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4957763" y="1090613"/>
          <a:ext cx="328612" cy="304800"/>
        </a:xfrm>
        <a:prstGeom prst="roundRect">
          <a:avLst/>
        </a:prstGeom>
        <a:blipFill dpi="0"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35" name="Retângulo arredondad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518160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16</xdr:col>
      <xdr:colOff>0</xdr:colOff>
      <xdr:row>3</xdr:row>
      <xdr:rowOff>0</xdr:rowOff>
    </xdr:to>
    <xdr:sp macro="" textlink="">
      <xdr:nvSpPr>
        <xdr:cNvPr id="36" name="Retângulo arredondad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5181600" y="365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28</xdr:row>
      <xdr:rowOff>0</xdr:rowOff>
    </xdr:from>
    <xdr:to>
      <xdr:col>29</xdr:col>
      <xdr:colOff>0</xdr:colOff>
      <xdr:row>29</xdr:row>
      <xdr:rowOff>0</xdr:rowOff>
    </xdr:to>
    <xdr:sp macro="" textlink="">
      <xdr:nvSpPr>
        <xdr:cNvPr id="37" name="Retângulo arredondad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2496800" y="5120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27</xdr:row>
      <xdr:rowOff>0</xdr:rowOff>
    </xdr:from>
    <xdr:to>
      <xdr:col>29</xdr:col>
      <xdr:colOff>0</xdr:colOff>
      <xdr:row>28</xdr:row>
      <xdr:rowOff>0</xdr:rowOff>
    </xdr:to>
    <xdr:sp macro="" textlink="">
      <xdr:nvSpPr>
        <xdr:cNvPr id="38" name="Retângulo arredondad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2496800" y="4937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26</xdr:row>
      <xdr:rowOff>0</xdr:rowOff>
    </xdr:from>
    <xdr:to>
      <xdr:col>29</xdr:col>
      <xdr:colOff>0</xdr:colOff>
      <xdr:row>27</xdr:row>
      <xdr:rowOff>0</xdr:rowOff>
    </xdr:to>
    <xdr:sp macro="" textlink="">
      <xdr:nvSpPr>
        <xdr:cNvPr id="39" name="Retângulo arredondad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2496800" y="47548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25</xdr:row>
      <xdr:rowOff>0</xdr:rowOff>
    </xdr:from>
    <xdr:to>
      <xdr:col>29</xdr:col>
      <xdr:colOff>0</xdr:colOff>
      <xdr:row>26</xdr:row>
      <xdr:rowOff>0</xdr:rowOff>
    </xdr:to>
    <xdr:sp macro="" textlink="">
      <xdr:nvSpPr>
        <xdr:cNvPr id="40" name="Retângulo arredondad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2496800" y="45720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24</xdr:row>
      <xdr:rowOff>0</xdr:rowOff>
    </xdr:from>
    <xdr:to>
      <xdr:col>29</xdr:col>
      <xdr:colOff>0</xdr:colOff>
      <xdr:row>25</xdr:row>
      <xdr:rowOff>0</xdr:rowOff>
    </xdr:to>
    <xdr:sp macro="" textlink="">
      <xdr:nvSpPr>
        <xdr:cNvPr id="41" name="Retângulo arredondad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2496800" y="43891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23</xdr:row>
      <xdr:rowOff>0</xdr:rowOff>
    </xdr:from>
    <xdr:to>
      <xdr:col>29</xdr:col>
      <xdr:colOff>0</xdr:colOff>
      <xdr:row>24</xdr:row>
      <xdr:rowOff>0</xdr:rowOff>
    </xdr:to>
    <xdr:sp macro="" textlink="">
      <xdr:nvSpPr>
        <xdr:cNvPr id="42" name="Retângulo arredondad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496800" y="42062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22</xdr:row>
      <xdr:rowOff>0</xdr:rowOff>
    </xdr:from>
    <xdr:to>
      <xdr:col>29</xdr:col>
      <xdr:colOff>0</xdr:colOff>
      <xdr:row>23</xdr:row>
      <xdr:rowOff>0</xdr:rowOff>
    </xdr:to>
    <xdr:sp macro="" textlink="">
      <xdr:nvSpPr>
        <xdr:cNvPr id="43" name="Retângulo arredondad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2496800" y="40233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21</xdr:row>
      <xdr:rowOff>0</xdr:rowOff>
    </xdr:from>
    <xdr:to>
      <xdr:col>29</xdr:col>
      <xdr:colOff>0</xdr:colOff>
      <xdr:row>22</xdr:row>
      <xdr:rowOff>0</xdr:rowOff>
    </xdr:to>
    <xdr:sp macro="" textlink="">
      <xdr:nvSpPr>
        <xdr:cNvPr id="44" name="Retângulo arredondad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496800" y="38404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3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20</xdr:row>
      <xdr:rowOff>0</xdr:rowOff>
    </xdr:from>
    <xdr:to>
      <xdr:col>29</xdr:col>
      <xdr:colOff>0</xdr:colOff>
      <xdr:row>21</xdr:row>
      <xdr:rowOff>0</xdr:rowOff>
    </xdr:to>
    <xdr:sp macro="" textlink="">
      <xdr:nvSpPr>
        <xdr:cNvPr id="45" name="Retângulo arredondad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2496800" y="36576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19</xdr:row>
      <xdr:rowOff>0</xdr:rowOff>
    </xdr:from>
    <xdr:to>
      <xdr:col>29</xdr:col>
      <xdr:colOff>0</xdr:colOff>
      <xdr:row>20</xdr:row>
      <xdr:rowOff>0</xdr:rowOff>
    </xdr:to>
    <xdr:sp macro="" textlink="">
      <xdr:nvSpPr>
        <xdr:cNvPr id="46" name="Retângulo arredondado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2496800" y="34747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19</xdr:row>
      <xdr:rowOff>0</xdr:rowOff>
    </xdr:to>
    <xdr:sp macro="" textlink="">
      <xdr:nvSpPr>
        <xdr:cNvPr id="47" name="Retângulo arredondad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2496800" y="32918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17</xdr:row>
      <xdr:rowOff>0</xdr:rowOff>
    </xdr:from>
    <xdr:to>
      <xdr:col>29</xdr:col>
      <xdr:colOff>0</xdr:colOff>
      <xdr:row>18</xdr:row>
      <xdr:rowOff>0</xdr:rowOff>
    </xdr:to>
    <xdr:sp macro="" textlink="">
      <xdr:nvSpPr>
        <xdr:cNvPr id="49" name="Retângulo arredondado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2496800" y="31089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16</xdr:row>
      <xdr:rowOff>0</xdr:rowOff>
    </xdr:from>
    <xdr:to>
      <xdr:col>29</xdr:col>
      <xdr:colOff>0</xdr:colOff>
      <xdr:row>17</xdr:row>
      <xdr:rowOff>0</xdr:rowOff>
    </xdr:to>
    <xdr:sp macro="" textlink="">
      <xdr:nvSpPr>
        <xdr:cNvPr id="50" name="Retângulo arredondado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2496800" y="29260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29</xdr:col>
      <xdr:colOff>0</xdr:colOff>
      <xdr:row>16</xdr:row>
      <xdr:rowOff>0</xdr:rowOff>
    </xdr:to>
    <xdr:sp macro="" textlink="">
      <xdr:nvSpPr>
        <xdr:cNvPr id="51" name="Retângulo arredondad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2496800" y="27432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14</xdr:row>
      <xdr:rowOff>0</xdr:rowOff>
    </xdr:from>
    <xdr:to>
      <xdr:col>29</xdr:col>
      <xdr:colOff>0</xdr:colOff>
      <xdr:row>15</xdr:row>
      <xdr:rowOff>0</xdr:rowOff>
    </xdr:to>
    <xdr:sp macro="" textlink="">
      <xdr:nvSpPr>
        <xdr:cNvPr id="52" name="Retângulo arredondado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2496800" y="25603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13</xdr:row>
      <xdr:rowOff>0</xdr:rowOff>
    </xdr:from>
    <xdr:to>
      <xdr:col>29</xdr:col>
      <xdr:colOff>0</xdr:colOff>
      <xdr:row>14</xdr:row>
      <xdr:rowOff>0</xdr:rowOff>
    </xdr:to>
    <xdr:sp macro="" textlink="">
      <xdr:nvSpPr>
        <xdr:cNvPr id="53" name="Retângulo arredondado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2496800" y="23774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12</xdr:row>
      <xdr:rowOff>0</xdr:rowOff>
    </xdr:from>
    <xdr:to>
      <xdr:col>29</xdr:col>
      <xdr:colOff>0</xdr:colOff>
      <xdr:row>13</xdr:row>
      <xdr:rowOff>0</xdr:rowOff>
    </xdr:to>
    <xdr:sp macro="" textlink="">
      <xdr:nvSpPr>
        <xdr:cNvPr id="54" name="Retângulo arredondad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1249680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11</xdr:row>
      <xdr:rowOff>0</xdr:rowOff>
    </xdr:from>
    <xdr:to>
      <xdr:col>29</xdr:col>
      <xdr:colOff>0</xdr:colOff>
      <xdr:row>12</xdr:row>
      <xdr:rowOff>0</xdr:rowOff>
    </xdr:to>
    <xdr:sp macro="" textlink="">
      <xdr:nvSpPr>
        <xdr:cNvPr id="55" name="Retângulo arredondad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249680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10</xdr:row>
      <xdr:rowOff>0</xdr:rowOff>
    </xdr:from>
    <xdr:to>
      <xdr:col>29</xdr:col>
      <xdr:colOff>0</xdr:colOff>
      <xdr:row>11</xdr:row>
      <xdr:rowOff>0</xdr:rowOff>
    </xdr:to>
    <xdr:sp macro="" textlink="">
      <xdr:nvSpPr>
        <xdr:cNvPr id="56" name="Retângulo arredondad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249680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9</xdr:row>
      <xdr:rowOff>0</xdr:rowOff>
    </xdr:from>
    <xdr:to>
      <xdr:col>29</xdr:col>
      <xdr:colOff>0</xdr:colOff>
      <xdr:row>10</xdr:row>
      <xdr:rowOff>0</xdr:rowOff>
    </xdr:to>
    <xdr:sp macro="" textlink="">
      <xdr:nvSpPr>
        <xdr:cNvPr id="57" name="Retângulo arredondad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249680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8</xdr:row>
      <xdr:rowOff>0</xdr:rowOff>
    </xdr:from>
    <xdr:to>
      <xdr:col>29</xdr:col>
      <xdr:colOff>0</xdr:colOff>
      <xdr:row>9</xdr:row>
      <xdr:rowOff>0</xdr:rowOff>
    </xdr:to>
    <xdr:sp macro="" textlink="">
      <xdr:nvSpPr>
        <xdr:cNvPr id="58" name="Retângulo arredondad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249680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7</xdr:row>
      <xdr:rowOff>0</xdr:rowOff>
    </xdr:from>
    <xdr:to>
      <xdr:col>29</xdr:col>
      <xdr:colOff>0</xdr:colOff>
      <xdr:row>8</xdr:row>
      <xdr:rowOff>0</xdr:rowOff>
    </xdr:to>
    <xdr:sp macro="" textlink="">
      <xdr:nvSpPr>
        <xdr:cNvPr id="59" name="Retângulo arredondad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249680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0</xdr:colOff>
      <xdr:row>7</xdr:row>
      <xdr:rowOff>0</xdr:rowOff>
    </xdr:to>
    <xdr:sp macro="" textlink="">
      <xdr:nvSpPr>
        <xdr:cNvPr id="60" name="Retângulo arredondad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249680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5</xdr:row>
      <xdr:rowOff>0</xdr:rowOff>
    </xdr:from>
    <xdr:to>
      <xdr:col>29</xdr:col>
      <xdr:colOff>0</xdr:colOff>
      <xdr:row>6</xdr:row>
      <xdr:rowOff>0</xdr:rowOff>
    </xdr:to>
    <xdr:sp macro="" textlink="">
      <xdr:nvSpPr>
        <xdr:cNvPr id="61" name="Retângulo arredondad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249680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62" name="Retângulo arredondad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12496800" y="7315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4</xdr:row>
      <xdr:rowOff>0</xdr:rowOff>
    </xdr:to>
    <xdr:sp macro="" textlink="">
      <xdr:nvSpPr>
        <xdr:cNvPr id="63" name="Retângulo arredondad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249680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</xdr:row>
      <xdr:rowOff>0</xdr:rowOff>
    </xdr:from>
    <xdr:to>
      <xdr:col>29</xdr:col>
      <xdr:colOff>0</xdr:colOff>
      <xdr:row>3</xdr:row>
      <xdr:rowOff>0</xdr:rowOff>
    </xdr:to>
    <xdr:sp macro="" textlink="">
      <xdr:nvSpPr>
        <xdr:cNvPr id="64" name="Retângulo arredondado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2496800" y="3657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5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8964</xdr:colOff>
      <xdr:row>1</xdr:row>
      <xdr:rowOff>0</xdr:rowOff>
    </xdr:from>
    <xdr:to>
      <xdr:col>29</xdr:col>
      <xdr:colOff>1344</xdr:colOff>
      <xdr:row>2</xdr:row>
      <xdr:rowOff>0</xdr:rowOff>
    </xdr:to>
    <xdr:sp macro="" textlink="">
      <xdr:nvSpPr>
        <xdr:cNvPr id="65" name="Retângulo arredondado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9798423" y="179294"/>
          <a:ext cx="324074" cy="304800"/>
        </a:xfrm>
        <a:prstGeom prst="roundRect">
          <a:avLst/>
        </a:prstGeom>
        <a:blipFill dpi="0" rotWithShape="1">
          <a:blip xmlns:r="http://schemas.openxmlformats.org/officeDocument/2006/relationships" r:embed="rId5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450</xdr:colOff>
      <xdr:row>1</xdr:row>
      <xdr:rowOff>0</xdr:rowOff>
    </xdr:from>
    <xdr:to>
      <xdr:col>42</xdr:col>
      <xdr:colOff>450</xdr:colOff>
      <xdr:row>2</xdr:row>
      <xdr:rowOff>0</xdr:rowOff>
    </xdr:to>
    <xdr:sp macro="" textlink="">
      <xdr:nvSpPr>
        <xdr:cNvPr id="66" name="Retângulo arredondado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15025297" y="179294"/>
          <a:ext cx="331694" cy="304800"/>
        </a:xfrm>
        <a:prstGeom prst="roundRect">
          <a:avLst/>
        </a:prstGeom>
        <a:blipFill dpi="0" rotWithShape="1">
          <a:blip xmlns:r="http://schemas.openxmlformats.org/officeDocument/2006/relationships" r:embed="rId6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2</xdr:row>
      <xdr:rowOff>0</xdr:rowOff>
    </xdr:from>
    <xdr:to>
      <xdr:col>42</xdr:col>
      <xdr:colOff>0</xdr:colOff>
      <xdr:row>3</xdr:row>
      <xdr:rowOff>0</xdr:rowOff>
    </xdr:to>
    <xdr:sp macro="" textlink="">
      <xdr:nvSpPr>
        <xdr:cNvPr id="67" name="Retângulo arredondad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4500860" y="480060"/>
          <a:ext cx="327660" cy="304800"/>
        </a:xfrm>
        <a:prstGeom prst="roundRect">
          <a:avLst/>
        </a:prstGeom>
        <a:blipFill dpi="0" rotWithShape="1">
          <a:blip xmlns:r="http://schemas.openxmlformats.org/officeDocument/2006/relationships" r:embed="rId6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68" name="Retângulo arredondado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19812000" y="5486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69" name="Retângulo arredondad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9812000" y="7315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5</xdr:row>
      <xdr:rowOff>0</xdr:rowOff>
    </xdr:from>
    <xdr:to>
      <xdr:col>42</xdr:col>
      <xdr:colOff>0</xdr:colOff>
      <xdr:row>6</xdr:row>
      <xdr:rowOff>0</xdr:rowOff>
    </xdr:to>
    <xdr:sp macro="" textlink="">
      <xdr:nvSpPr>
        <xdr:cNvPr id="70" name="Retângulo arredondad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19812000" y="9144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6</xdr:row>
      <xdr:rowOff>0</xdr:rowOff>
    </xdr:from>
    <xdr:to>
      <xdr:col>42</xdr:col>
      <xdr:colOff>0</xdr:colOff>
      <xdr:row>7</xdr:row>
      <xdr:rowOff>0</xdr:rowOff>
    </xdr:to>
    <xdr:sp macro="" textlink="">
      <xdr:nvSpPr>
        <xdr:cNvPr id="71" name="Retângulo arredondado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19812000" y="10972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7</xdr:row>
      <xdr:rowOff>0</xdr:rowOff>
    </xdr:from>
    <xdr:to>
      <xdr:col>42</xdr:col>
      <xdr:colOff>0</xdr:colOff>
      <xdr:row>8</xdr:row>
      <xdr:rowOff>0</xdr:rowOff>
    </xdr:to>
    <xdr:sp macro="" textlink="">
      <xdr:nvSpPr>
        <xdr:cNvPr id="73" name="Retângulo arredondad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9812000" y="12801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8</xdr:row>
      <xdr:rowOff>0</xdr:rowOff>
    </xdr:from>
    <xdr:to>
      <xdr:col>42</xdr:col>
      <xdr:colOff>0</xdr:colOff>
      <xdr:row>9</xdr:row>
      <xdr:rowOff>0</xdr:rowOff>
    </xdr:to>
    <xdr:sp macro="" textlink="">
      <xdr:nvSpPr>
        <xdr:cNvPr id="74" name="Retângulo arredondad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19812000" y="14630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9</xdr:row>
      <xdr:rowOff>0</xdr:rowOff>
    </xdr:from>
    <xdr:to>
      <xdr:col>42</xdr:col>
      <xdr:colOff>0</xdr:colOff>
      <xdr:row>10</xdr:row>
      <xdr:rowOff>0</xdr:rowOff>
    </xdr:to>
    <xdr:sp macro="" textlink="">
      <xdr:nvSpPr>
        <xdr:cNvPr id="75" name="Retângulo arredondad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19812000" y="16459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10</xdr:row>
      <xdr:rowOff>0</xdr:rowOff>
    </xdr:from>
    <xdr:to>
      <xdr:col>42</xdr:col>
      <xdr:colOff>0</xdr:colOff>
      <xdr:row>11</xdr:row>
      <xdr:rowOff>0</xdr:rowOff>
    </xdr:to>
    <xdr:sp macro="" textlink="">
      <xdr:nvSpPr>
        <xdr:cNvPr id="76" name="Retângulo arredondad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19812000" y="182880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6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11</xdr:row>
      <xdr:rowOff>0</xdr:rowOff>
    </xdr:from>
    <xdr:to>
      <xdr:col>42</xdr:col>
      <xdr:colOff>0</xdr:colOff>
      <xdr:row>12</xdr:row>
      <xdr:rowOff>0</xdr:rowOff>
    </xdr:to>
    <xdr:sp macro="" textlink="">
      <xdr:nvSpPr>
        <xdr:cNvPr id="77" name="Retângulo arredondado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9812000" y="201168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12</xdr:row>
      <xdr:rowOff>0</xdr:rowOff>
    </xdr:from>
    <xdr:to>
      <xdr:col>42</xdr:col>
      <xdr:colOff>0</xdr:colOff>
      <xdr:row>13</xdr:row>
      <xdr:rowOff>0</xdr:rowOff>
    </xdr:to>
    <xdr:sp macro="" textlink="">
      <xdr:nvSpPr>
        <xdr:cNvPr id="78" name="Retângulo arredondad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9812000" y="219456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13</xdr:row>
      <xdr:rowOff>0</xdr:rowOff>
    </xdr:from>
    <xdr:to>
      <xdr:col>42</xdr:col>
      <xdr:colOff>0</xdr:colOff>
      <xdr:row>14</xdr:row>
      <xdr:rowOff>0</xdr:rowOff>
    </xdr:to>
    <xdr:sp macro="" textlink="">
      <xdr:nvSpPr>
        <xdr:cNvPr id="79" name="Retângulo arredondado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19812000" y="237744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0</xdr:colOff>
      <xdr:row>14</xdr:row>
      <xdr:rowOff>0</xdr:rowOff>
    </xdr:from>
    <xdr:to>
      <xdr:col>42</xdr:col>
      <xdr:colOff>0</xdr:colOff>
      <xdr:row>15</xdr:row>
      <xdr:rowOff>0</xdr:rowOff>
    </xdr:to>
    <xdr:sp macro="" textlink="">
      <xdr:nvSpPr>
        <xdr:cNvPr id="80" name="Retângulo arredondado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9812000" y="2560320"/>
          <a:ext cx="609600" cy="182880"/>
        </a:xfrm>
        <a:prstGeom prst="roundRect">
          <a:avLst/>
        </a:prstGeom>
        <a:blipFill dpi="0" rotWithShape="1">
          <a:blip xmlns:r="http://schemas.openxmlformats.org/officeDocument/2006/relationships" r:embed="rId7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15</xdr:row>
          <xdr:rowOff>0</xdr:rowOff>
        </xdr:from>
        <xdr:to>
          <xdr:col>11</xdr:col>
          <xdr:colOff>358140</xdr:colOff>
          <xdr:row>16</xdr:row>
          <xdr:rowOff>297180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0</xdr:colOff>
      <xdr:row>29</xdr:row>
      <xdr:rowOff>0</xdr:rowOff>
    </xdr:from>
    <xdr:to>
      <xdr:col>29</xdr:col>
      <xdr:colOff>0</xdr:colOff>
      <xdr:row>30</xdr:row>
      <xdr:rowOff>0</xdr:rowOff>
    </xdr:to>
    <xdr:sp macro="" textlink="">
      <xdr:nvSpPr>
        <xdr:cNvPr id="81" name="Retângulo arredondado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1244943" y="8708571"/>
          <a:ext cx="326571" cy="304800"/>
        </a:xfrm>
        <a:prstGeom prst="roundRect">
          <a:avLst/>
        </a:prstGeom>
        <a:blipFill dpi="0" rotWithShape="1">
          <a:blip xmlns:r="http://schemas.openxmlformats.org/officeDocument/2006/relationships" r:embed="rId7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BA30"/>
  <sheetViews>
    <sheetView tabSelected="1" topLeftCell="C1" zoomScale="110" zoomScaleNormal="70" workbookViewId="0">
      <selection activeCell="F4" sqref="F4"/>
    </sheetView>
  </sheetViews>
  <sheetFormatPr defaultRowHeight="24" customHeight="1" x14ac:dyDescent="0.3"/>
  <cols>
    <col min="1" max="1" width="4.109375" style="1" customWidth="1"/>
    <col min="2" max="2" width="4.77734375" style="1" customWidth="1"/>
    <col min="3" max="3" width="28.33203125" style="13" customWidth="1"/>
    <col min="4" max="12" width="5.77734375" style="14" customWidth="1"/>
    <col min="13" max="14" width="7" style="14" customWidth="1"/>
    <col min="15" max="15" width="3.77734375" style="14" customWidth="1"/>
    <col min="16" max="16" width="4.77734375" style="1" customWidth="1"/>
    <col min="17" max="17" width="11.88671875" style="13" customWidth="1"/>
    <col min="18" max="26" width="5.77734375" style="14" customWidth="1"/>
    <col min="27" max="27" width="7.109375" style="14" customWidth="1"/>
    <col min="28" max="28" width="3.77734375" style="14" customWidth="1"/>
    <col min="29" max="29" width="4.77734375" style="1" customWidth="1"/>
    <col min="30" max="30" width="17.44140625" style="1" customWidth="1"/>
    <col min="31" max="39" width="5.77734375" style="14" customWidth="1"/>
    <col min="40" max="40" width="7" style="14" customWidth="1"/>
    <col min="41" max="41" width="3.77734375" style="14" customWidth="1"/>
    <col min="42" max="42" width="4.77734375" style="1" customWidth="1"/>
    <col min="43" max="43" width="17.77734375" style="1" customWidth="1"/>
    <col min="44" max="52" width="5.77734375" style="14" customWidth="1"/>
    <col min="53" max="53" width="7.109375" style="14" customWidth="1"/>
    <col min="54" max="16384" width="8.88671875" style="1"/>
  </cols>
  <sheetData>
    <row r="1" spans="1:53" s="11" customFormat="1" ht="13.8" customHeight="1" x14ac:dyDescent="0.3">
      <c r="A1" s="2"/>
      <c r="B1" s="3">
        <v>10</v>
      </c>
      <c r="C1" s="4" t="s">
        <v>0</v>
      </c>
      <c r="D1" s="5" t="s">
        <v>1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34</v>
      </c>
      <c r="K1" s="6" t="s">
        <v>7</v>
      </c>
      <c r="L1" s="7" t="s">
        <v>8</v>
      </c>
      <c r="M1" s="8" t="s">
        <v>35</v>
      </c>
      <c r="N1" s="8" t="s">
        <v>92</v>
      </c>
      <c r="O1" s="9"/>
      <c r="P1" s="10">
        <v>20</v>
      </c>
      <c r="Q1" s="4" t="s">
        <v>0</v>
      </c>
      <c r="R1" s="5" t="s">
        <v>1</v>
      </c>
      <c r="S1" s="5" t="s">
        <v>2</v>
      </c>
      <c r="T1" s="5" t="s">
        <v>3</v>
      </c>
      <c r="U1" s="5" t="s">
        <v>4</v>
      </c>
      <c r="V1" s="5" t="s">
        <v>5</v>
      </c>
      <c r="W1" s="5" t="s">
        <v>6</v>
      </c>
      <c r="X1" s="5" t="s">
        <v>34</v>
      </c>
      <c r="Y1" s="6" t="s">
        <v>7</v>
      </c>
      <c r="Z1" s="7" t="s">
        <v>8</v>
      </c>
      <c r="AA1" s="8" t="s">
        <v>35</v>
      </c>
      <c r="AB1" s="9"/>
      <c r="AC1" s="10">
        <v>30</v>
      </c>
      <c r="AD1" s="3" t="s">
        <v>0</v>
      </c>
      <c r="AE1" s="5" t="s">
        <v>1</v>
      </c>
      <c r="AF1" s="5" t="s">
        <v>2</v>
      </c>
      <c r="AG1" s="5" t="s">
        <v>3</v>
      </c>
      <c r="AH1" s="5" t="s">
        <v>4</v>
      </c>
      <c r="AI1" s="5" t="s">
        <v>5</v>
      </c>
      <c r="AJ1" s="5" t="s">
        <v>6</v>
      </c>
      <c r="AK1" s="5" t="s">
        <v>34</v>
      </c>
      <c r="AL1" s="6" t="s">
        <v>7</v>
      </c>
      <c r="AM1" s="7" t="s">
        <v>8</v>
      </c>
      <c r="AN1" s="8" t="s">
        <v>35</v>
      </c>
      <c r="AO1" s="9"/>
      <c r="AP1" s="10">
        <v>35</v>
      </c>
      <c r="AQ1" s="3" t="s">
        <v>0</v>
      </c>
      <c r="AR1" s="5" t="s">
        <v>1</v>
      </c>
      <c r="AS1" s="5" t="s">
        <v>2</v>
      </c>
      <c r="AT1" s="5" t="s">
        <v>3</v>
      </c>
      <c r="AU1" s="5" t="s">
        <v>4</v>
      </c>
      <c r="AV1" s="5" t="s">
        <v>5</v>
      </c>
      <c r="AW1" s="5" t="s">
        <v>6</v>
      </c>
      <c r="AX1" s="5" t="s">
        <v>34</v>
      </c>
      <c r="AY1" s="6" t="s">
        <v>7</v>
      </c>
      <c r="AZ1" s="7" t="s">
        <v>8</v>
      </c>
      <c r="BA1" s="8" t="s">
        <v>35</v>
      </c>
    </row>
    <row r="2" spans="1:53" ht="24" customHeight="1" x14ac:dyDescent="0.3">
      <c r="A2" s="12"/>
      <c r="C2" s="13" t="s">
        <v>9</v>
      </c>
      <c r="D2" s="14">
        <v>4</v>
      </c>
      <c r="J2" s="14">
        <f>SUM(D2:I2)</f>
        <v>4</v>
      </c>
      <c r="K2" s="15">
        <f>SUMIF(D2:I2,"&gt;0",D2:I2)</f>
        <v>4</v>
      </c>
      <c r="L2" s="16">
        <f>SUMIF(D2:I2,"&lt;0",D2:I2)</f>
        <v>0</v>
      </c>
      <c r="M2" s="43">
        <f>SUM(K2,-L2)</f>
        <v>4</v>
      </c>
      <c r="N2" s="17"/>
      <c r="O2" s="18"/>
      <c r="P2" s="19"/>
      <c r="Q2" s="13" t="s">
        <v>15</v>
      </c>
      <c r="R2" s="14">
        <v>10</v>
      </c>
      <c r="T2" s="14">
        <v>-3</v>
      </c>
      <c r="U2" s="14">
        <v>-3</v>
      </c>
      <c r="V2" s="14">
        <v>4</v>
      </c>
      <c r="W2" s="14">
        <v>4</v>
      </c>
      <c r="X2" s="14">
        <f>SUM(R2:W2)</f>
        <v>12</v>
      </c>
      <c r="Y2" s="15">
        <f>SUMIF(R2:W2,"&gt; 0",R2:W2)</f>
        <v>18</v>
      </c>
      <c r="Z2" s="16">
        <f>SUMIF(R2:W2,"&lt;0",R2:W2)</f>
        <v>-6</v>
      </c>
      <c r="AA2" s="17">
        <f>SUM(Y2,-Z2)</f>
        <v>24</v>
      </c>
      <c r="AB2" s="18"/>
      <c r="AC2" s="19"/>
      <c r="AD2" s="1" t="s">
        <v>77</v>
      </c>
      <c r="AG2" s="14">
        <v>12</v>
      </c>
      <c r="AH2" s="14">
        <v>12</v>
      </c>
      <c r="AI2" s="14">
        <v>6</v>
      </c>
      <c r="AJ2" s="14">
        <v>6</v>
      </c>
      <c r="AK2" s="14">
        <f>SUM(AE2:AJ2)</f>
        <v>36</v>
      </c>
      <c r="AL2" s="15">
        <f>SUMIF(AE2:AJ2,"&gt;0",AE2:AJ2)</f>
        <v>36</v>
      </c>
      <c r="AM2" s="16">
        <f>SUMIF(AE2:AJ2,"&lt;0",AE2:AJ2)</f>
        <v>0</v>
      </c>
      <c r="AN2" s="17">
        <f>SUM(AL2,-AM2)</f>
        <v>36</v>
      </c>
      <c r="AO2" s="18"/>
      <c r="AP2" s="19"/>
      <c r="AQ2" s="1" t="s">
        <v>63</v>
      </c>
      <c r="AR2" s="14">
        <v>10</v>
      </c>
      <c r="AV2" s="14">
        <v>17</v>
      </c>
      <c r="AW2" s="14">
        <v>17</v>
      </c>
      <c r="AX2" s="14">
        <f>SUM(AR2:AW2)</f>
        <v>44</v>
      </c>
      <c r="AY2" s="15">
        <f>SUMIF(AR2:AW2,"&gt;0",AR2:AW2)</f>
        <v>44</v>
      </c>
      <c r="AZ2" s="16">
        <f>SUMIF(AR2:AW2,"&lt;0",AR2:AW2)</f>
        <v>0</v>
      </c>
      <c r="BA2" s="17">
        <f>SUM(AY2,-AZ2)</f>
        <v>44</v>
      </c>
    </row>
    <row r="3" spans="1:53" ht="24" customHeight="1" x14ac:dyDescent="0.3">
      <c r="A3" s="12"/>
      <c r="C3" s="13" t="s">
        <v>87</v>
      </c>
      <c r="D3" s="14">
        <v>2</v>
      </c>
      <c r="H3" s="14">
        <v>1</v>
      </c>
      <c r="I3" s="14">
        <v>1</v>
      </c>
      <c r="J3" s="14">
        <f t="shared" ref="J3:J13" si="0">SUM(D3:I3)</f>
        <v>4</v>
      </c>
      <c r="K3" s="15">
        <f t="shared" ref="K3:K13" si="1">SUMIF(D3:I3,"&gt;0",D3:I3)</f>
        <v>4</v>
      </c>
      <c r="L3" s="16">
        <f t="shared" ref="L3:L13" si="2">SUMIF(D3:I3,"&lt;0",D3:I3)</f>
        <v>0</v>
      </c>
      <c r="M3" s="43">
        <f>SUM(K3,-L3)</f>
        <v>4</v>
      </c>
      <c r="N3" s="17"/>
      <c r="O3" s="18"/>
      <c r="P3" s="19"/>
      <c r="Q3" s="13" t="s">
        <v>16</v>
      </c>
      <c r="T3" s="14">
        <v>9</v>
      </c>
      <c r="W3" s="14">
        <v>3</v>
      </c>
      <c r="X3" s="14">
        <f t="shared" ref="X3:X20" si="3">SUM(R3:W3)</f>
        <v>12</v>
      </c>
      <c r="Y3" s="15">
        <f t="shared" ref="Y3:Y20" si="4">SUMIF(R3:W3,"&gt; 0",R3:W3)</f>
        <v>12</v>
      </c>
      <c r="Z3" s="16">
        <f t="shared" ref="Z3:Z20" si="5">SUMIF(R3:W3,"&lt;0",R3:W3)</f>
        <v>0</v>
      </c>
      <c r="AA3" s="17">
        <f t="shared" ref="AA3:AA20" si="6">SUM(Y3,-Z3)</f>
        <v>12</v>
      </c>
      <c r="AB3" s="18"/>
      <c r="AC3" s="19"/>
      <c r="AD3" s="1" t="s">
        <v>36</v>
      </c>
      <c r="AE3" s="14">
        <v>8</v>
      </c>
      <c r="AF3" s="14">
        <v>-10</v>
      </c>
      <c r="AH3" s="14">
        <v>8</v>
      </c>
      <c r="AK3" s="14">
        <f t="shared" ref="AK3:AK30" si="7">SUM(AE3:AJ3)</f>
        <v>6</v>
      </c>
      <c r="AL3" s="15">
        <f t="shared" ref="AL3:AL30" si="8">SUMIF(AE3:AJ3,"&gt;0",AE3:AJ3)</f>
        <v>16</v>
      </c>
      <c r="AM3" s="16">
        <f t="shared" ref="AM3:AM30" si="9">SUMIF(AE3:AJ3,"&lt;0",AE3:AJ3)</f>
        <v>-10</v>
      </c>
      <c r="AN3" s="17">
        <f t="shared" ref="AN3:AN30" si="10">SUM(AL3,-AM3)</f>
        <v>26</v>
      </c>
      <c r="AO3" s="18"/>
      <c r="AP3" s="19"/>
      <c r="AQ3" s="1" t="s">
        <v>64</v>
      </c>
      <c r="AR3" s="14">
        <v>15</v>
      </c>
      <c r="AS3" s="14">
        <v>-10</v>
      </c>
      <c r="AT3" s="14">
        <v>20</v>
      </c>
      <c r="AU3" s="14">
        <v>-10</v>
      </c>
      <c r="AX3" s="14">
        <f t="shared" ref="AX3:AX15" si="11">SUM(AR3:AW3)</f>
        <v>15</v>
      </c>
      <c r="AY3" s="15">
        <f t="shared" ref="AY3:AY15" si="12">SUMIF(AR3:AW3,"&gt;0",AR3:AW3)</f>
        <v>35</v>
      </c>
      <c r="AZ3" s="16">
        <f t="shared" ref="AZ3:AZ15" si="13">SUMIF(AR3:AW3,"&lt;0",AR3:AW3)</f>
        <v>-20</v>
      </c>
      <c r="BA3" s="17">
        <f t="shared" ref="BA3:BA15" si="14">SUM(AY3,-AZ3)</f>
        <v>55</v>
      </c>
    </row>
    <row r="4" spans="1:53" ht="24" customHeight="1" x14ac:dyDescent="0.3">
      <c r="A4" s="12"/>
      <c r="C4" s="13" t="s">
        <v>10</v>
      </c>
      <c r="E4" s="14">
        <v>4</v>
      </c>
      <c r="J4" s="14">
        <f t="shared" si="0"/>
        <v>4</v>
      </c>
      <c r="K4" s="15">
        <f t="shared" si="1"/>
        <v>4</v>
      </c>
      <c r="L4" s="16">
        <f t="shared" si="2"/>
        <v>0</v>
      </c>
      <c r="M4" s="43">
        <f>SUM(K4,-L4)</f>
        <v>4</v>
      </c>
      <c r="N4" s="17"/>
      <c r="O4" s="18"/>
      <c r="P4" s="19"/>
      <c r="Q4" s="13" t="s">
        <v>17</v>
      </c>
      <c r="U4" s="14">
        <v>4</v>
      </c>
      <c r="V4" s="14">
        <v>8</v>
      </c>
      <c r="X4" s="14">
        <f t="shared" si="3"/>
        <v>12</v>
      </c>
      <c r="Y4" s="15">
        <f t="shared" si="4"/>
        <v>12</v>
      </c>
      <c r="Z4" s="16">
        <f t="shared" si="5"/>
        <v>0</v>
      </c>
      <c r="AA4" s="17">
        <f t="shared" si="6"/>
        <v>12</v>
      </c>
      <c r="AB4" s="18"/>
      <c r="AC4" s="19"/>
      <c r="AD4" s="1" t="s">
        <v>37</v>
      </c>
      <c r="AF4" s="14">
        <v>-10</v>
      </c>
      <c r="AG4" s="14">
        <v>12</v>
      </c>
      <c r="AH4" s="14">
        <v>12</v>
      </c>
      <c r="AK4" s="14">
        <f t="shared" si="7"/>
        <v>14</v>
      </c>
      <c r="AL4" s="15">
        <f t="shared" si="8"/>
        <v>24</v>
      </c>
      <c r="AM4" s="16">
        <f t="shared" si="9"/>
        <v>-10</v>
      </c>
      <c r="AN4" s="17">
        <f t="shared" si="10"/>
        <v>34</v>
      </c>
      <c r="AO4" s="18"/>
      <c r="AP4" s="19"/>
      <c r="AQ4" s="1" t="s">
        <v>65</v>
      </c>
      <c r="AR4" s="14">
        <v>15</v>
      </c>
      <c r="AS4" s="14">
        <v>-10</v>
      </c>
      <c r="AT4" s="14">
        <v>-10</v>
      </c>
      <c r="AU4" s="14">
        <v>20</v>
      </c>
      <c r="AX4" s="14">
        <f t="shared" si="11"/>
        <v>15</v>
      </c>
      <c r="AY4" s="15">
        <f t="shared" si="12"/>
        <v>35</v>
      </c>
      <c r="AZ4" s="16">
        <f t="shared" si="13"/>
        <v>-20</v>
      </c>
      <c r="BA4" s="17">
        <f t="shared" si="14"/>
        <v>55</v>
      </c>
    </row>
    <row r="5" spans="1:53" ht="24" customHeight="1" x14ac:dyDescent="0.3">
      <c r="A5" s="12"/>
      <c r="C5" s="13" t="s">
        <v>91</v>
      </c>
      <c r="E5" s="14">
        <v>3</v>
      </c>
      <c r="F5" s="14">
        <v>1</v>
      </c>
      <c r="J5" s="14">
        <f t="shared" si="0"/>
        <v>4</v>
      </c>
      <c r="K5" s="15">
        <f t="shared" si="1"/>
        <v>4</v>
      </c>
      <c r="L5" s="16">
        <f t="shared" si="2"/>
        <v>0</v>
      </c>
      <c r="M5" s="43">
        <f>SUM(K5,-L5)</f>
        <v>4</v>
      </c>
      <c r="N5" s="17"/>
      <c r="O5" s="18"/>
      <c r="P5" s="19"/>
      <c r="Q5" s="13" t="s">
        <v>18</v>
      </c>
      <c r="R5" s="14">
        <v>10</v>
      </c>
      <c r="W5" s="14">
        <v>4</v>
      </c>
      <c r="X5" s="14">
        <f t="shared" si="3"/>
        <v>14</v>
      </c>
      <c r="Y5" s="15">
        <f t="shared" si="4"/>
        <v>14</v>
      </c>
      <c r="Z5" s="16">
        <f t="shared" si="5"/>
        <v>0</v>
      </c>
      <c r="AA5" s="17">
        <f t="shared" si="6"/>
        <v>14</v>
      </c>
      <c r="AB5" s="18"/>
      <c r="AC5" s="19"/>
      <c r="AD5" s="1" t="s">
        <v>38</v>
      </c>
      <c r="AF5" s="14">
        <v>-10</v>
      </c>
      <c r="AI5" s="14">
        <v>9</v>
      </c>
      <c r="AJ5" s="14">
        <v>9</v>
      </c>
      <c r="AK5" s="14">
        <f t="shared" si="7"/>
        <v>8</v>
      </c>
      <c r="AL5" s="15">
        <f t="shared" si="8"/>
        <v>18</v>
      </c>
      <c r="AM5" s="16">
        <f t="shared" si="9"/>
        <v>-10</v>
      </c>
      <c r="AN5" s="17">
        <f t="shared" si="10"/>
        <v>28</v>
      </c>
      <c r="AO5" s="18"/>
      <c r="AP5" s="19"/>
      <c r="AQ5" s="1" t="s">
        <v>59</v>
      </c>
      <c r="AR5" s="14">
        <v>18</v>
      </c>
      <c r="AS5" s="14">
        <v>10</v>
      </c>
      <c r="AT5" s="14">
        <v>20</v>
      </c>
      <c r="AX5" s="14">
        <f t="shared" si="11"/>
        <v>48</v>
      </c>
      <c r="AY5" s="15">
        <f t="shared" si="12"/>
        <v>48</v>
      </c>
      <c r="AZ5" s="16">
        <f t="shared" si="13"/>
        <v>0</v>
      </c>
      <c r="BA5" s="17">
        <f t="shared" si="14"/>
        <v>48</v>
      </c>
    </row>
    <row r="6" spans="1:53" ht="24" customHeight="1" x14ac:dyDescent="0.3">
      <c r="A6" s="12"/>
      <c r="C6" s="13" t="s">
        <v>90</v>
      </c>
      <c r="D6" s="14">
        <v>3</v>
      </c>
      <c r="H6" s="14">
        <v>1</v>
      </c>
      <c r="J6" s="14">
        <f t="shared" si="0"/>
        <v>4</v>
      </c>
      <c r="K6" s="15">
        <f t="shared" si="1"/>
        <v>4</v>
      </c>
      <c r="L6" s="16">
        <f t="shared" si="2"/>
        <v>0</v>
      </c>
      <c r="M6" s="43">
        <f>SUM(K6,-L6)</f>
        <v>4</v>
      </c>
      <c r="N6" s="17"/>
      <c r="O6" s="18"/>
      <c r="P6" s="19"/>
      <c r="Q6" s="13" t="s">
        <v>19</v>
      </c>
      <c r="T6" s="14">
        <v>9</v>
      </c>
      <c r="U6" s="14">
        <v>9</v>
      </c>
      <c r="X6" s="14">
        <f t="shared" si="3"/>
        <v>18</v>
      </c>
      <c r="Y6" s="15">
        <f t="shared" si="4"/>
        <v>18</v>
      </c>
      <c r="Z6" s="16">
        <f t="shared" si="5"/>
        <v>0</v>
      </c>
      <c r="AA6" s="17">
        <f t="shared" si="6"/>
        <v>18</v>
      </c>
      <c r="AB6" s="18"/>
      <c r="AC6" s="19"/>
      <c r="AD6" s="1" t="s">
        <v>39</v>
      </c>
      <c r="AG6" s="14">
        <v>15</v>
      </c>
      <c r="AJ6" s="14">
        <v>15</v>
      </c>
      <c r="AK6" s="14">
        <f t="shared" si="7"/>
        <v>30</v>
      </c>
      <c r="AL6" s="15">
        <f t="shared" si="8"/>
        <v>30</v>
      </c>
      <c r="AM6" s="16">
        <f t="shared" si="9"/>
        <v>0</v>
      </c>
      <c r="AN6" s="17">
        <f t="shared" si="10"/>
        <v>30</v>
      </c>
      <c r="AO6" s="18"/>
      <c r="AP6" s="19"/>
      <c r="AQ6" s="1" t="s">
        <v>66</v>
      </c>
      <c r="AR6" s="14">
        <v>18</v>
      </c>
      <c r="AS6" s="14">
        <v>10</v>
      </c>
      <c r="AU6" s="14">
        <v>20</v>
      </c>
      <c r="AX6" s="14">
        <f t="shared" si="11"/>
        <v>48</v>
      </c>
      <c r="AY6" s="15">
        <f t="shared" si="12"/>
        <v>48</v>
      </c>
      <c r="AZ6" s="16">
        <f t="shared" si="13"/>
        <v>0</v>
      </c>
      <c r="BA6" s="17">
        <f t="shared" si="14"/>
        <v>48</v>
      </c>
    </row>
    <row r="7" spans="1:53" ht="24" customHeight="1" x14ac:dyDescent="0.3">
      <c r="A7" s="12"/>
      <c r="C7" s="13" t="s">
        <v>88</v>
      </c>
      <c r="E7" s="14">
        <v>1</v>
      </c>
      <c r="F7" s="14">
        <v>3</v>
      </c>
      <c r="J7" s="14">
        <f t="shared" si="0"/>
        <v>4</v>
      </c>
      <c r="K7" s="15">
        <f t="shared" si="1"/>
        <v>4</v>
      </c>
      <c r="L7" s="16">
        <f t="shared" si="2"/>
        <v>0</v>
      </c>
      <c r="M7" s="43">
        <f>SUM(K7,-L7)</f>
        <v>4</v>
      </c>
      <c r="N7" s="17"/>
      <c r="O7" s="18"/>
      <c r="P7" s="19"/>
      <c r="Q7" s="13" t="s">
        <v>20</v>
      </c>
      <c r="R7" s="14">
        <v>6</v>
      </c>
      <c r="S7" s="14">
        <v>10</v>
      </c>
      <c r="X7" s="14">
        <f t="shared" si="3"/>
        <v>16</v>
      </c>
      <c r="Y7" s="15">
        <f t="shared" si="4"/>
        <v>16</v>
      </c>
      <c r="Z7" s="16">
        <f t="shared" si="5"/>
        <v>0</v>
      </c>
      <c r="AA7" s="17">
        <f t="shared" si="6"/>
        <v>16</v>
      </c>
      <c r="AB7" s="18"/>
      <c r="AC7" s="19"/>
      <c r="AD7" s="1" t="s">
        <v>40</v>
      </c>
      <c r="AE7" s="14">
        <v>8</v>
      </c>
      <c r="AF7" s="14">
        <v>-10</v>
      </c>
      <c r="AG7" s="14">
        <v>8</v>
      </c>
      <c r="AK7" s="14">
        <f t="shared" si="7"/>
        <v>6</v>
      </c>
      <c r="AL7" s="15">
        <f t="shared" si="8"/>
        <v>16</v>
      </c>
      <c r="AM7" s="16">
        <f t="shared" si="9"/>
        <v>-10</v>
      </c>
      <c r="AN7" s="17">
        <f t="shared" si="10"/>
        <v>26</v>
      </c>
      <c r="AO7" s="18"/>
      <c r="AP7" s="19"/>
      <c r="AQ7" s="1" t="s">
        <v>67</v>
      </c>
      <c r="AR7" s="14">
        <v>16</v>
      </c>
      <c r="AS7" s="14">
        <v>-10</v>
      </c>
      <c r="AV7" s="14">
        <v>12</v>
      </c>
      <c r="AW7" s="14">
        <v>12</v>
      </c>
      <c r="AX7" s="14">
        <f t="shared" si="11"/>
        <v>30</v>
      </c>
      <c r="AY7" s="15">
        <f t="shared" si="12"/>
        <v>40</v>
      </c>
      <c r="AZ7" s="16">
        <f t="shared" si="13"/>
        <v>-10</v>
      </c>
      <c r="BA7" s="17">
        <f t="shared" si="14"/>
        <v>50</v>
      </c>
    </row>
    <row r="8" spans="1:53" ht="24" customHeight="1" x14ac:dyDescent="0.3">
      <c r="A8" s="12"/>
      <c r="C8" s="13" t="s">
        <v>89</v>
      </c>
      <c r="E8" s="14">
        <v>3</v>
      </c>
      <c r="G8" s="14">
        <v>1</v>
      </c>
      <c r="J8" s="14">
        <f t="shared" si="0"/>
        <v>4</v>
      </c>
      <c r="K8" s="15">
        <f t="shared" si="1"/>
        <v>4</v>
      </c>
      <c r="L8" s="16">
        <f t="shared" si="2"/>
        <v>0</v>
      </c>
      <c r="M8" s="43">
        <f>SUM(K8,-L8)</f>
        <v>4</v>
      </c>
      <c r="N8" s="17"/>
      <c r="O8" s="18"/>
      <c r="P8" s="19"/>
      <c r="Q8" s="13" t="s">
        <v>21</v>
      </c>
      <c r="U8" s="14">
        <v>9</v>
      </c>
      <c r="W8" s="14">
        <v>3</v>
      </c>
      <c r="X8" s="14">
        <f t="shared" si="3"/>
        <v>12</v>
      </c>
      <c r="Y8" s="15">
        <f t="shared" si="4"/>
        <v>12</v>
      </c>
      <c r="Z8" s="16">
        <f t="shared" si="5"/>
        <v>0</v>
      </c>
      <c r="AA8" s="17">
        <f t="shared" si="6"/>
        <v>12</v>
      </c>
      <c r="AB8" s="18"/>
      <c r="AC8" s="19"/>
      <c r="AD8" s="1" t="s">
        <v>41</v>
      </c>
      <c r="AE8" s="14">
        <v>18</v>
      </c>
      <c r="AJ8" s="14">
        <v>18</v>
      </c>
      <c r="AK8" s="14">
        <f t="shared" si="7"/>
        <v>36</v>
      </c>
      <c r="AL8" s="15">
        <f t="shared" si="8"/>
        <v>36</v>
      </c>
      <c r="AM8" s="16">
        <f t="shared" si="9"/>
        <v>0</v>
      </c>
      <c r="AN8" s="17">
        <f t="shared" si="10"/>
        <v>36</v>
      </c>
      <c r="AO8" s="18"/>
      <c r="AP8" s="19"/>
      <c r="AQ8" s="1" t="s">
        <v>68</v>
      </c>
      <c r="AT8" s="14">
        <v>15</v>
      </c>
      <c r="AU8" s="14">
        <v>15</v>
      </c>
      <c r="AV8" s="14">
        <v>7</v>
      </c>
      <c r="AW8" s="14">
        <v>7</v>
      </c>
      <c r="AX8" s="14">
        <f t="shared" si="11"/>
        <v>44</v>
      </c>
      <c r="AY8" s="15">
        <f t="shared" si="12"/>
        <v>44</v>
      </c>
      <c r="AZ8" s="16">
        <f t="shared" si="13"/>
        <v>0</v>
      </c>
      <c r="BA8" s="17">
        <f t="shared" si="14"/>
        <v>44</v>
      </c>
    </row>
    <row r="9" spans="1:53" ht="24" customHeight="1" x14ac:dyDescent="0.3">
      <c r="A9" s="12"/>
      <c r="C9" s="13" t="s">
        <v>86</v>
      </c>
      <c r="D9" s="14">
        <v>1</v>
      </c>
      <c r="G9" s="14">
        <v>3</v>
      </c>
      <c r="J9" s="14">
        <f t="shared" si="0"/>
        <v>4</v>
      </c>
      <c r="K9" s="15">
        <f t="shared" si="1"/>
        <v>4</v>
      </c>
      <c r="L9" s="16">
        <f t="shared" si="2"/>
        <v>0</v>
      </c>
      <c r="M9" s="43">
        <f>SUM(K9,-L9)</f>
        <v>4</v>
      </c>
      <c r="N9" s="17"/>
      <c r="O9" s="18"/>
      <c r="P9" s="19"/>
      <c r="Q9" s="13" t="s">
        <v>22</v>
      </c>
      <c r="R9" s="14">
        <v>6</v>
      </c>
      <c r="T9" s="14">
        <v>6</v>
      </c>
      <c r="X9" s="14">
        <f t="shared" si="3"/>
        <v>12</v>
      </c>
      <c r="Y9" s="15">
        <f t="shared" si="4"/>
        <v>12</v>
      </c>
      <c r="Z9" s="16">
        <f t="shared" si="5"/>
        <v>0</v>
      </c>
      <c r="AA9" s="17">
        <f t="shared" si="6"/>
        <v>12</v>
      </c>
      <c r="AB9" s="18"/>
      <c r="AC9" s="19"/>
      <c r="AD9" s="1" t="s">
        <v>42</v>
      </c>
      <c r="AE9" s="14">
        <v>18</v>
      </c>
      <c r="AI9" s="14">
        <v>18</v>
      </c>
      <c r="AK9" s="14">
        <f t="shared" si="7"/>
        <v>36</v>
      </c>
      <c r="AL9" s="15">
        <f t="shared" si="8"/>
        <v>36</v>
      </c>
      <c r="AM9" s="16">
        <f t="shared" si="9"/>
        <v>0</v>
      </c>
      <c r="AN9" s="17">
        <f t="shared" si="10"/>
        <v>36</v>
      </c>
      <c r="AO9" s="18"/>
      <c r="AP9" s="19"/>
      <c r="AQ9" s="1" t="s">
        <v>69</v>
      </c>
      <c r="AT9" s="14">
        <v>8</v>
      </c>
      <c r="AU9" s="14">
        <v>8</v>
      </c>
      <c r="AV9" s="14">
        <v>16</v>
      </c>
      <c r="AW9" s="14">
        <v>16</v>
      </c>
      <c r="AX9" s="14">
        <f t="shared" si="11"/>
        <v>48</v>
      </c>
      <c r="AY9" s="15">
        <f t="shared" si="12"/>
        <v>48</v>
      </c>
      <c r="AZ9" s="16">
        <f t="shared" si="13"/>
        <v>0</v>
      </c>
      <c r="BA9" s="17">
        <f t="shared" si="14"/>
        <v>48</v>
      </c>
    </row>
    <row r="10" spans="1:53" ht="24" customHeight="1" x14ac:dyDescent="0.3">
      <c r="A10" s="12"/>
      <c r="C10" s="13" t="s">
        <v>11</v>
      </c>
      <c r="H10" s="14">
        <v>2</v>
      </c>
      <c r="I10" s="14">
        <v>2</v>
      </c>
      <c r="J10" s="14">
        <f t="shared" si="0"/>
        <v>4</v>
      </c>
      <c r="K10" s="15">
        <f t="shared" si="1"/>
        <v>4</v>
      </c>
      <c r="L10" s="16">
        <f t="shared" si="2"/>
        <v>0</v>
      </c>
      <c r="M10" s="43">
        <f>SUM(K10,-L10)</f>
        <v>4</v>
      </c>
      <c r="N10" s="17"/>
      <c r="O10" s="18"/>
      <c r="P10" s="19"/>
      <c r="Q10" s="13" t="s">
        <v>23</v>
      </c>
      <c r="R10" s="14">
        <v>6</v>
      </c>
      <c r="U10" s="14">
        <v>6</v>
      </c>
      <c r="X10" s="14">
        <f t="shared" si="3"/>
        <v>12</v>
      </c>
      <c r="Y10" s="15">
        <f t="shared" si="4"/>
        <v>12</v>
      </c>
      <c r="Z10" s="16">
        <f t="shared" si="5"/>
        <v>0</v>
      </c>
      <c r="AA10" s="17">
        <f t="shared" si="6"/>
        <v>12</v>
      </c>
      <c r="AB10" s="18"/>
      <c r="AC10" s="19"/>
      <c r="AD10" s="1" t="s">
        <v>43</v>
      </c>
      <c r="AE10" s="14">
        <v>16</v>
      </c>
      <c r="AH10" s="14">
        <v>16</v>
      </c>
      <c r="AK10" s="14">
        <f t="shared" si="7"/>
        <v>32</v>
      </c>
      <c r="AL10" s="15">
        <f t="shared" si="8"/>
        <v>32</v>
      </c>
      <c r="AM10" s="16">
        <f t="shared" si="9"/>
        <v>0</v>
      </c>
      <c r="AN10" s="17">
        <f t="shared" si="10"/>
        <v>32</v>
      </c>
      <c r="AO10" s="18"/>
      <c r="AP10" s="19"/>
      <c r="AQ10" s="1" t="s">
        <v>70</v>
      </c>
      <c r="AR10" s="14">
        <v>15</v>
      </c>
      <c r="AS10" s="14">
        <v>-10</v>
      </c>
      <c r="AW10" s="14">
        <v>24</v>
      </c>
      <c r="AX10" s="14">
        <f t="shared" si="11"/>
        <v>29</v>
      </c>
      <c r="AY10" s="15">
        <f t="shared" si="12"/>
        <v>39</v>
      </c>
      <c r="AZ10" s="16">
        <f t="shared" si="13"/>
        <v>-10</v>
      </c>
      <c r="BA10" s="17">
        <f t="shared" si="14"/>
        <v>49</v>
      </c>
    </row>
    <row r="11" spans="1:53" ht="24" customHeight="1" x14ac:dyDescent="0.3">
      <c r="A11" s="12"/>
      <c r="C11" s="13" t="s">
        <v>12</v>
      </c>
      <c r="D11" s="14">
        <v>1</v>
      </c>
      <c r="F11" s="14">
        <v>3</v>
      </c>
      <c r="J11" s="14">
        <f t="shared" si="0"/>
        <v>4</v>
      </c>
      <c r="K11" s="15">
        <f t="shared" si="1"/>
        <v>4</v>
      </c>
      <c r="L11" s="16">
        <f t="shared" si="2"/>
        <v>0</v>
      </c>
      <c r="M11" s="43">
        <f>SUM(K11,-L11)</f>
        <v>4</v>
      </c>
      <c r="N11" s="17"/>
      <c r="O11" s="18"/>
      <c r="P11" s="19"/>
      <c r="Q11" s="13" t="s">
        <v>24</v>
      </c>
      <c r="R11" s="14">
        <v>10</v>
      </c>
      <c r="V11" s="14">
        <v>4</v>
      </c>
      <c r="X11" s="14">
        <f t="shared" si="3"/>
        <v>14</v>
      </c>
      <c r="Y11" s="15">
        <f t="shared" si="4"/>
        <v>14</v>
      </c>
      <c r="Z11" s="16">
        <f t="shared" si="5"/>
        <v>0</v>
      </c>
      <c r="AA11" s="17">
        <f t="shared" si="6"/>
        <v>14</v>
      </c>
      <c r="AB11" s="18"/>
      <c r="AC11" s="19"/>
      <c r="AD11" s="1" t="s">
        <v>76</v>
      </c>
      <c r="AE11" s="14">
        <v>18</v>
      </c>
      <c r="AI11" s="14">
        <v>9</v>
      </c>
      <c r="AJ11" s="14">
        <v>9</v>
      </c>
      <c r="AK11" s="14">
        <f t="shared" si="7"/>
        <v>36</v>
      </c>
      <c r="AL11" s="15">
        <f t="shared" si="8"/>
        <v>36</v>
      </c>
      <c r="AM11" s="16">
        <f t="shared" si="9"/>
        <v>0</v>
      </c>
      <c r="AN11" s="17">
        <f t="shared" si="10"/>
        <v>36</v>
      </c>
      <c r="AO11" s="18"/>
      <c r="AP11" s="19"/>
      <c r="AQ11" s="1" t="s">
        <v>71</v>
      </c>
      <c r="AR11" s="14">
        <v>15</v>
      </c>
      <c r="AS11" s="14">
        <v>-10</v>
      </c>
      <c r="AV11" s="14">
        <v>24</v>
      </c>
      <c r="AX11" s="14">
        <f t="shared" si="11"/>
        <v>29</v>
      </c>
      <c r="AY11" s="15">
        <f t="shared" si="12"/>
        <v>39</v>
      </c>
      <c r="AZ11" s="16">
        <f t="shared" si="13"/>
        <v>-10</v>
      </c>
      <c r="BA11" s="17">
        <f t="shared" si="14"/>
        <v>49</v>
      </c>
    </row>
    <row r="12" spans="1:53" ht="24" customHeight="1" x14ac:dyDescent="0.3">
      <c r="A12" s="12"/>
      <c r="C12" s="13" t="s">
        <v>13</v>
      </c>
      <c r="D12" s="14">
        <v>-10</v>
      </c>
      <c r="J12" s="14">
        <f t="shared" si="0"/>
        <v>-10</v>
      </c>
      <c r="K12" s="15">
        <f t="shared" si="1"/>
        <v>0</v>
      </c>
      <c r="L12" s="16">
        <f t="shared" si="2"/>
        <v>-10</v>
      </c>
      <c r="M12" s="43">
        <f>SUM(K12,-L12)</f>
        <v>10</v>
      </c>
      <c r="N12" s="17"/>
      <c r="O12" s="18"/>
      <c r="P12" s="19"/>
      <c r="Q12" s="13" t="s">
        <v>25</v>
      </c>
      <c r="R12" s="14">
        <v>4</v>
      </c>
      <c r="V12" s="14">
        <v>5</v>
      </c>
      <c r="W12" s="14">
        <v>5</v>
      </c>
      <c r="X12" s="14">
        <f t="shared" si="3"/>
        <v>14</v>
      </c>
      <c r="Y12" s="15">
        <f t="shared" si="4"/>
        <v>14</v>
      </c>
      <c r="Z12" s="16">
        <f t="shared" si="5"/>
        <v>0</v>
      </c>
      <c r="AA12" s="17">
        <f t="shared" si="6"/>
        <v>14</v>
      </c>
      <c r="AB12" s="18"/>
      <c r="AC12" s="19"/>
      <c r="AD12" s="1" t="s">
        <v>44</v>
      </c>
      <c r="AF12" s="14">
        <v>3</v>
      </c>
      <c r="AH12" s="14">
        <v>17</v>
      </c>
      <c r="AI12" s="14">
        <v>7</v>
      </c>
      <c r="AJ12" s="14">
        <v>7</v>
      </c>
      <c r="AK12" s="14">
        <f t="shared" si="7"/>
        <v>34</v>
      </c>
      <c r="AL12" s="15">
        <f t="shared" si="8"/>
        <v>34</v>
      </c>
      <c r="AM12" s="16">
        <f t="shared" si="9"/>
        <v>0</v>
      </c>
      <c r="AN12" s="17">
        <f t="shared" si="10"/>
        <v>34</v>
      </c>
      <c r="AO12" s="18"/>
      <c r="AP12" s="19"/>
      <c r="AQ12" s="1" t="s">
        <v>72</v>
      </c>
      <c r="AR12" s="14">
        <v>20</v>
      </c>
      <c r="AW12" s="14">
        <v>25</v>
      </c>
      <c r="AX12" s="14">
        <f t="shared" si="11"/>
        <v>45</v>
      </c>
      <c r="AY12" s="15">
        <f t="shared" si="12"/>
        <v>45</v>
      </c>
      <c r="AZ12" s="16">
        <f t="shared" si="13"/>
        <v>0</v>
      </c>
      <c r="BA12" s="17">
        <f t="shared" si="14"/>
        <v>45</v>
      </c>
    </row>
    <row r="13" spans="1:53" ht="24" customHeight="1" x14ac:dyDescent="0.3">
      <c r="A13" s="12"/>
      <c r="B13" s="20"/>
      <c r="C13" s="21" t="s">
        <v>14</v>
      </c>
      <c r="D13" s="22">
        <v>-10</v>
      </c>
      <c r="E13" s="22"/>
      <c r="F13" s="22"/>
      <c r="G13" s="22"/>
      <c r="H13" s="22"/>
      <c r="I13" s="22"/>
      <c r="J13" s="22">
        <f t="shared" si="0"/>
        <v>-10</v>
      </c>
      <c r="K13" s="23">
        <f t="shared" si="1"/>
        <v>0</v>
      </c>
      <c r="L13" s="24">
        <f t="shared" si="2"/>
        <v>-10</v>
      </c>
      <c r="M13" s="44">
        <f>SUM(K13,-L13)</f>
        <v>10</v>
      </c>
      <c r="N13" s="25"/>
      <c r="O13" s="18"/>
      <c r="P13" s="19"/>
      <c r="Q13" s="13" t="s">
        <v>26</v>
      </c>
      <c r="R13" s="14">
        <v>6</v>
      </c>
      <c r="S13" s="14">
        <v>6</v>
      </c>
      <c r="T13" s="14">
        <v>4</v>
      </c>
      <c r="X13" s="14">
        <f t="shared" si="3"/>
        <v>16</v>
      </c>
      <c r="Y13" s="15">
        <f t="shared" si="4"/>
        <v>16</v>
      </c>
      <c r="Z13" s="16">
        <f t="shared" si="5"/>
        <v>0</v>
      </c>
      <c r="AA13" s="17">
        <f t="shared" si="6"/>
        <v>16</v>
      </c>
      <c r="AB13" s="18"/>
      <c r="AC13" s="19"/>
      <c r="AD13" s="1" t="s">
        <v>45</v>
      </c>
      <c r="AE13" s="14">
        <v>16</v>
      </c>
      <c r="AG13" s="14">
        <v>16</v>
      </c>
      <c r="AK13" s="14">
        <f t="shared" si="7"/>
        <v>32</v>
      </c>
      <c r="AL13" s="15">
        <f t="shared" si="8"/>
        <v>32</v>
      </c>
      <c r="AM13" s="16">
        <f t="shared" si="9"/>
        <v>0</v>
      </c>
      <c r="AN13" s="17">
        <f t="shared" si="10"/>
        <v>32</v>
      </c>
      <c r="AO13" s="18"/>
      <c r="AP13" s="19"/>
      <c r="AQ13" s="1" t="s">
        <v>73</v>
      </c>
      <c r="AR13" s="14">
        <v>20</v>
      </c>
      <c r="AV13" s="14">
        <v>25</v>
      </c>
      <c r="AX13" s="14">
        <f t="shared" si="11"/>
        <v>45</v>
      </c>
      <c r="AY13" s="15">
        <f t="shared" si="12"/>
        <v>45</v>
      </c>
      <c r="AZ13" s="16">
        <f t="shared" si="13"/>
        <v>0</v>
      </c>
      <c r="BA13" s="17">
        <f t="shared" si="14"/>
        <v>45</v>
      </c>
    </row>
    <row r="14" spans="1:53" ht="24" customHeight="1" x14ac:dyDescent="0.3">
      <c r="P14" s="19"/>
      <c r="Q14" s="13" t="s">
        <v>27</v>
      </c>
      <c r="R14" s="14">
        <v>9</v>
      </c>
      <c r="T14" s="14">
        <v>5</v>
      </c>
      <c r="U14" s="14">
        <v>5</v>
      </c>
      <c r="V14" s="14">
        <v>-1</v>
      </c>
      <c r="W14" s="14">
        <v>-1</v>
      </c>
      <c r="X14" s="14">
        <f t="shared" si="3"/>
        <v>17</v>
      </c>
      <c r="Y14" s="15">
        <f t="shared" si="4"/>
        <v>19</v>
      </c>
      <c r="Z14" s="16">
        <f t="shared" si="5"/>
        <v>-2</v>
      </c>
      <c r="AA14" s="17">
        <f t="shared" si="6"/>
        <v>21</v>
      </c>
      <c r="AB14" s="18"/>
      <c r="AC14" s="19"/>
      <c r="AD14" s="1" t="s">
        <v>46</v>
      </c>
      <c r="AF14" s="14">
        <v>3</v>
      </c>
      <c r="AG14" s="14">
        <v>17</v>
      </c>
      <c r="AI14" s="14">
        <v>7</v>
      </c>
      <c r="AJ14" s="14">
        <v>7</v>
      </c>
      <c r="AK14" s="14">
        <f t="shared" si="7"/>
        <v>34</v>
      </c>
      <c r="AL14" s="15">
        <f t="shared" si="8"/>
        <v>34</v>
      </c>
      <c r="AM14" s="16">
        <f t="shared" si="9"/>
        <v>0</v>
      </c>
      <c r="AN14" s="17">
        <f t="shared" si="10"/>
        <v>34</v>
      </c>
      <c r="AO14" s="18"/>
      <c r="AP14" s="19"/>
      <c r="AQ14" s="1" t="s">
        <v>74</v>
      </c>
      <c r="AR14" s="14">
        <v>10</v>
      </c>
      <c r="AS14" s="14">
        <v>-10</v>
      </c>
      <c r="AT14" s="14">
        <v>16</v>
      </c>
      <c r="AU14" s="14">
        <v>16</v>
      </c>
      <c r="AX14" s="14">
        <f t="shared" si="11"/>
        <v>32</v>
      </c>
      <c r="AY14" s="15">
        <f t="shared" si="12"/>
        <v>42</v>
      </c>
      <c r="AZ14" s="16">
        <f t="shared" si="13"/>
        <v>-10</v>
      </c>
      <c r="BA14" s="17">
        <f t="shared" si="14"/>
        <v>52</v>
      </c>
    </row>
    <row r="15" spans="1:53" ht="24" customHeight="1" thickBot="1" x14ac:dyDescent="0.35">
      <c r="P15" s="19"/>
      <c r="Q15" s="13" t="s">
        <v>28</v>
      </c>
      <c r="T15" s="14">
        <v>4</v>
      </c>
      <c r="V15" s="14">
        <v>8</v>
      </c>
      <c r="X15" s="14">
        <f t="shared" si="3"/>
        <v>12</v>
      </c>
      <c r="Y15" s="15">
        <f t="shared" si="4"/>
        <v>12</v>
      </c>
      <c r="Z15" s="16">
        <f t="shared" si="5"/>
        <v>0</v>
      </c>
      <c r="AA15" s="17">
        <f t="shared" si="6"/>
        <v>12</v>
      </c>
      <c r="AB15" s="18"/>
      <c r="AC15" s="19"/>
      <c r="AD15" s="1" t="s">
        <v>47</v>
      </c>
      <c r="AG15" s="14">
        <v>15</v>
      </c>
      <c r="AI15" s="14">
        <v>15</v>
      </c>
      <c r="AK15" s="14">
        <f t="shared" si="7"/>
        <v>30</v>
      </c>
      <c r="AL15" s="15">
        <f t="shared" si="8"/>
        <v>30</v>
      </c>
      <c r="AM15" s="16">
        <f t="shared" si="9"/>
        <v>0</v>
      </c>
      <c r="AN15" s="17">
        <f t="shared" si="10"/>
        <v>30</v>
      </c>
      <c r="AO15" s="18"/>
      <c r="AP15" s="26"/>
      <c r="AQ15" s="20" t="s">
        <v>75</v>
      </c>
      <c r="AR15" s="22">
        <v>26</v>
      </c>
      <c r="AS15" s="22">
        <v>26</v>
      </c>
      <c r="AT15" s="22">
        <v>5</v>
      </c>
      <c r="AU15" s="22">
        <v>5</v>
      </c>
      <c r="AV15" s="22"/>
      <c r="AW15" s="22"/>
      <c r="AX15" s="22">
        <f t="shared" si="11"/>
        <v>62</v>
      </c>
      <c r="AY15" s="23">
        <f t="shared" si="12"/>
        <v>62</v>
      </c>
      <c r="AZ15" s="24">
        <f t="shared" si="13"/>
        <v>0</v>
      </c>
      <c r="BA15" s="25">
        <f t="shared" si="14"/>
        <v>62</v>
      </c>
    </row>
    <row r="16" spans="1:53" ht="24" customHeight="1" thickTop="1" x14ac:dyDescent="0.3">
      <c r="A16" s="28"/>
      <c r="B16" s="29"/>
      <c r="C16" s="30" t="s">
        <v>0</v>
      </c>
      <c r="D16" s="31" t="s">
        <v>1</v>
      </c>
      <c r="E16" s="31" t="s">
        <v>2</v>
      </c>
      <c r="F16" s="31" t="s">
        <v>3</v>
      </c>
      <c r="G16" s="31" t="s">
        <v>4</v>
      </c>
      <c r="H16" s="31" t="s">
        <v>5</v>
      </c>
      <c r="I16" s="32" t="s">
        <v>6</v>
      </c>
      <c r="P16" s="19"/>
      <c r="Q16" s="13" t="s">
        <v>29</v>
      </c>
      <c r="R16" s="14">
        <v>14</v>
      </c>
      <c r="S16" s="14">
        <v>2</v>
      </c>
      <c r="X16" s="14">
        <f t="shared" si="3"/>
        <v>16</v>
      </c>
      <c r="Y16" s="15">
        <f t="shared" si="4"/>
        <v>16</v>
      </c>
      <c r="Z16" s="16">
        <f t="shared" si="5"/>
        <v>0</v>
      </c>
      <c r="AA16" s="17">
        <f t="shared" si="6"/>
        <v>16</v>
      </c>
      <c r="AB16" s="18"/>
      <c r="AC16" s="19"/>
      <c r="AD16" s="1" t="s">
        <v>48</v>
      </c>
      <c r="AH16" s="14">
        <v>15</v>
      </c>
      <c r="AJ16" s="14">
        <v>15</v>
      </c>
      <c r="AK16" s="14">
        <f t="shared" si="7"/>
        <v>30</v>
      </c>
      <c r="AL16" s="15">
        <f t="shared" si="8"/>
        <v>30</v>
      </c>
      <c r="AM16" s="16">
        <f t="shared" si="9"/>
        <v>0</v>
      </c>
      <c r="AN16" s="17">
        <f t="shared" si="10"/>
        <v>30</v>
      </c>
      <c r="AO16" s="18"/>
      <c r="BA16" s="18"/>
    </row>
    <row r="17" spans="1:42" ht="24" customHeight="1" x14ac:dyDescent="0.3">
      <c r="A17" s="39" t="s">
        <v>78</v>
      </c>
      <c r="B17" s="40"/>
      <c r="C17" s="13" t="s">
        <v>85</v>
      </c>
      <c r="D17" s="14" t="e">
        <f>VLOOKUP($C$17,$C$2:$I$13, 2,FALSE)</f>
        <v>#N/A</v>
      </c>
      <c r="E17" s="14" t="e">
        <f>VLOOKUP($C$17,$C$2:$I$13, 3,FALSE)</f>
        <v>#N/A</v>
      </c>
      <c r="F17" s="14" t="e">
        <f>VLOOKUP($C$17,$C$2:$I$13, 4,FALSE)</f>
        <v>#N/A</v>
      </c>
      <c r="G17" s="14" t="e">
        <f>VLOOKUP($C$17,$C$2:$I$13, 5,FALSE)</f>
        <v>#N/A</v>
      </c>
      <c r="H17" s="14" t="e">
        <f>VLOOKUP($C$17,$C$2:$I$13, 6,FALSE)</f>
        <v>#N/A</v>
      </c>
      <c r="I17" s="33" t="e">
        <f>VLOOKUP($C$17,$C$2:$I$13, 7,FALSE)</f>
        <v>#N/A</v>
      </c>
      <c r="P17" s="19"/>
      <c r="Q17" s="13" t="s">
        <v>30</v>
      </c>
      <c r="V17" s="14">
        <v>7</v>
      </c>
      <c r="W17" s="14">
        <v>7</v>
      </c>
      <c r="X17" s="14">
        <f t="shared" si="3"/>
        <v>14</v>
      </c>
      <c r="Y17" s="15">
        <f t="shared" si="4"/>
        <v>14</v>
      </c>
      <c r="Z17" s="16">
        <f t="shared" si="5"/>
        <v>0</v>
      </c>
      <c r="AA17" s="17">
        <f t="shared" si="6"/>
        <v>14</v>
      </c>
      <c r="AB17" s="18"/>
      <c r="AC17" s="19"/>
      <c r="AD17" s="1" t="s">
        <v>49</v>
      </c>
      <c r="AE17" s="14">
        <v>14</v>
      </c>
      <c r="AF17" s="14">
        <v>10</v>
      </c>
      <c r="AJ17" s="14">
        <v>16</v>
      </c>
      <c r="AK17" s="14">
        <f t="shared" si="7"/>
        <v>40</v>
      </c>
      <c r="AL17" s="15">
        <f t="shared" si="8"/>
        <v>40</v>
      </c>
      <c r="AM17" s="16">
        <f t="shared" si="9"/>
        <v>0</v>
      </c>
      <c r="AN17" s="17">
        <f t="shared" si="10"/>
        <v>40</v>
      </c>
      <c r="AO17" s="18"/>
    </row>
    <row r="18" spans="1:42" ht="24" customHeight="1" x14ac:dyDescent="0.3">
      <c r="A18" s="39" t="s">
        <v>79</v>
      </c>
      <c r="B18" s="40"/>
      <c r="C18" s="13" t="s">
        <v>85</v>
      </c>
      <c r="D18" s="14" t="e">
        <f>VLOOKUP($C$18,$Q$2:$W$20, 2,FALSE)</f>
        <v>#N/A</v>
      </c>
      <c r="E18" s="14" t="e">
        <f>VLOOKUP($C$18,$Q$2:$W$20, 3,FALSE)</f>
        <v>#N/A</v>
      </c>
      <c r="F18" s="14" t="e">
        <f>VLOOKUP($C$18,$Q$2:$W$20, 4,FALSE)</f>
        <v>#N/A</v>
      </c>
      <c r="G18" s="14" t="e">
        <f>VLOOKUP($C$18,$Q$2:$W$20, 5,FALSE)</f>
        <v>#N/A</v>
      </c>
      <c r="H18" s="14" t="e">
        <f>VLOOKUP($C$18,$Q$2:$W$20, 6,FALSE)</f>
        <v>#N/A</v>
      </c>
      <c r="I18" s="33" t="e">
        <f>VLOOKUP($C$18,$Q$2:$W$20, 7,FALSE)</f>
        <v>#N/A</v>
      </c>
      <c r="P18" s="19"/>
      <c r="Q18" s="13" t="s">
        <v>31</v>
      </c>
      <c r="R18" s="14">
        <v>2</v>
      </c>
      <c r="V18" s="14">
        <v>11</v>
      </c>
      <c r="X18" s="14">
        <f t="shared" si="3"/>
        <v>13</v>
      </c>
      <c r="Y18" s="15">
        <f t="shared" si="4"/>
        <v>13</v>
      </c>
      <c r="Z18" s="16">
        <f t="shared" si="5"/>
        <v>0</v>
      </c>
      <c r="AA18" s="17">
        <f t="shared" si="6"/>
        <v>13</v>
      </c>
      <c r="AB18" s="18"/>
      <c r="AC18" s="19"/>
      <c r="AD18" s="1" t="s">
        <v>50</v>
      </c>
      <c r="AE18" s="14">
        <v>7</v>
      </c>
      <c r="AI18" s="14">
        <v>14</v>
      </c>
      <c r="AJ18" s="14">
        <v>14</v>
      </c>
      <c r="AK18" s="14">
        <f t="shared" si="7"/>
        <v>35</v>
      </c>
      <c r="AL18" s="15">
        <f t="shared" si="8"/>
        <v>35</v>
      </c>
      <c r="AM18" s="16">
        <f t="shared" si="9"/>
        <v>0</v>
      </c>
      <c r="AN18" s="17">
        <f t="shared" si="10"/>
        <v>35</v>
      </c>
      <c r="AO18" s="18"/>
    </row>
    <row r="19" spans="1:42" ht="24" customHeight="1" x14ac:dyDescent="0.3">
      <c r="A19" s="39" t="s">
        <v>80</v>
      </c>
      <c r="B19" s="40"/>
      <c r="C19" s="13" t="s">
        <v>85</v>
      </c>
      <c r="D19" s="14" t="e">
        <f>VLOOKUP($C$19,$AD$2:$AJ$30, 2,FALSE)</f>
        <v>#N/A</v>
      </c>
      <c r="E19" s="14" t="e">
        <f>VLOOKUP($C$19,$AD$2:$AJ$30,3,FALSE)</f>
        <v>#N/A</v>
      </c>
      <c r="F19" s="14" t="e">
        <f>VLOOKUP($C$19,$AD$2:$AJ$30, 4,FALSE)</f>
        <v>#N/A</v>
      </c>
      <c r="G19" s="14" t="e">
        <f>VLOOKUP($C$19,$AD$2:$AJ$30, 5,FALSE)</f>
        <v>#N/A</v>
      </c>
      <c r="H19" s="14" t="e">
        <f>VLOOKUP($C$19,$AD$2:$AJ$30, 6,FALSE)</f>
        <v>#N/A</v>
      </c>
      <c r="I19" s="33" t="e">
        <f>VLOOKUP($C$19,$AD$2:$AJ$30, 7,FALSE)</f>
        <v>#N/A</v>
      </c>
      <c r="P19" s="19"/>
      <c r="Q19" s="13" t="s">
        <v>32</v>
      </c>
      <c r="R19" s="14">
        <v>2</v>
      </c>
      <c r="W19" s="14">
        <v>11</v>
      </c>
      <c r="X19" s="14">
        <f t="shared" si="3"/>
        <v>13</v>
      </c>
      <c r="Y19" s="15">
        <f t="shared" si="4"/>
        <v>13</v>
      </c>
      <c r="Z19" s="16">
        <f t="shared" si="5"/>
        <v>0</v>
      </c>
      <c r="AA19" s="17">
        <f t="shared" si="6"/>
        <v>13</v>
      </c>
      <c r="AB19" s="18"/>
      <c r="AC19" s="19"/>
      <c r="AD19" s="1" t="s">
        <v>60</v>
      </c>
      <c r="AE19" s="14">
        <v>28</v>
      </c>
      <c r="AG19" s="14">
        <v>7</v>
      </c>
      <c r="AH19" s="14">
        <v>7</v>
      </c>
      <c r="AK19" s="14">
        <f t="shared" si="7"/>
        <v>42</v>
      </c>
      <c r="AL19" s="15">
        <f t="shared" si="8"/>
        <v>42</v>
      </c>
      <c r="AM19" s="16">
        <f t="shared" si="9"/>
        <v>0</v>
      </c>
      <c r="AN19" s="17">
        <f t="shared" si="10"/>
        <v>42</v>
      </c>
      <c r="AO19" s="18"/>
    </row>
    <row r="20" spans="1:42" ht="24" customHeight="1" x14ac:dyDescent="0.3">
      <c r="A20" s="39" t="s">
        <v>81</v>
      </c>
      <c r="B20" s="40"/>
      <c r="C20" s="13" t="s">
        <v>85</v>
      </c>
      <c r="D20" s="14" t="e">
        <f>VLOOKUP($C$20,$AQ$2:$AW$15, 2,FALSE)</f>
        <v>#N/A</v>
      </c>
      <c r="E20" s="14" t="e">
        <f>VLOOKUP($C$20,$AQ$2:$AW$15, 3,FALSE)</f>
        <v>#N/A</v>
      </c>
      <c r="F20" s="14" t="e">
        <f>VLOOKUP($C$20,$AQ$2:$AW$15, 4,FALSE)</f>
        <v>#N/A</v>
      </c>
      <c r="G20" s="14" t="e">
        <f>VLOOKUP($C$20,$AQ$2:$AW$15, 5,FALSE)</f>
        <v>#N/A</v>
      </c>
      <c r="H20" s="14" t="e">
        <f>VLOOKUP($C$20,$AQ$2:$AW$15, 6,FALSE)</f>
        <v>#N/A</v>
      </c>
      <c r="I20" s="33" t="e">
        <f>VLOOKUP($C$20,$AQ$2:$AW$15, 7,FALSE)</f>
        <v>#N/A</v>
      </c>
      <c r="P20" s="26"/>
      <c r="Q20" s="21" t="s">
        <v>33</v>
      </c>
      <c r="R20" s="22"/>
      <c r="S20" s="22">
        <v>3</v>
      </c>
      <c r="T20" s="22">
        <v>6</v>
      </c>
      <c r="U20" s="22"/>
      <c r="V20" s="22"/>
      <c r="W20" s="22">
        <v>6</v>
      </c>
      <c r="X20" s="22">
        <f t="shared" si="3"/>
        <v>15</v>
      </c>
      <c r="Y20" s="23">
        <f t="shared" si="4"/>
        <v>15</v>
      </c>
      <c r="Z20" s="24">
        <f t="shared" si="5"/>
        <v>0</v>
      </c>
      <c r="AA20" s="25">
        <f t="shared" si="6"/>
        <v>15</v>
      </c>
      <c r="AB20" s="18"/>
      <c r="AC20" s="19"/>
      <c r="AD20" s="1" t="s">
        <v>51</v>
      </c>
      <c r="AH20" s="14">
        <v>15</v>
      </c>
      <c r="AI20" s="14">
        <v>15</v>
      </c>
      <c r="AK20" s="14">
        <f t="shared" si="7"/>
        <v>30</v>
      </c>
      <c r="AL20" s="15">
        <f t="shared" si="8"/>
        <v>30</v>
      </c>
      <c r="AM20" s="16">
        <f t="shared" si="9"/>
        <v>0</v>
      </c>
      <c r="AN20" s="17">
        <f t="shared" si="10"/>
        <v>30</v>
      </c>
      <c r="AO20" s="18"/>
    </row>
    <row r="21" spans="1:42" ht="24" customHeight="1" x14ac:dyDescent="0.3">
      <c r="A21" s="34"/>
      <c r="I21" s="33"/>
      <c r="AC21" s="19"/>
      <c r="AD21" s="1" t="s">
        <v>52</v>
      </c>
      <c r="AE21" s="14">
        <v>12</v>
      </c>
      <c r="AF21" s="14">
        <v>-5</v>
      </c>
      <c r="AG21" s="14">
        <v>12</v>
      </c>
      <c r="AK21" s="14">
        <f t="shared" si="7"/>
        <v>19</v>
      </c>
      <c r="AL21" s="15">
        <f t="shared" si="8"/>
        <v>24</v>
      </c>
      <c r="AM21" s="16">
        <f t="shared" si="9"/>
        <v>-5</v>
      </c>
      <c r="AN21" s="17">
        <f t="shared" si="10"/>
        <v>29</v>
      </c>
      <c r="AO21" s="18"/>
    </row>
    <row r="22" spans="1:42" ht="24" customHeight="1" thickBot="1" x14ac:dyDescent="0.35">
      <c r="A22" s="41" t="s">
        <v>82</v>
      </c>
      <c r="B22" s="42"/>
      <c r="C22" s="42"/>
      <c r="I22" s="33"/>
      <c r="AC22" s="19"/>
      <c r="AD22" s="1" t="s">
        <v>53</v>
      </c>
      <c r="AE22" s="14">
        <v>12</v>
      </c>
      <c r="AF22" s="27">
        <v>-5</v>
      </c>
      <c r="AH22" s="14">
        <v>12</v>
      </c>
      <c r="AK22" s="14">
        <f t="shared" si="7"/>
        <v>19</v>
      </c>
      <c r="AL22" s="15">
        <f t="shared" si="8"/>
        <v>24</v>
      </c>
      <c r="AM22" s="16">
        <f t="shared" si="9"/>
        <v>-5</v>
      </c>
      <c r="AN22" s="17">
        <f t="shared" si="10"/>
        <v>29</v>
      </c>
      <c r="AO22" s="18"/>
    </row>
    <row r="23" spans="1:42" ht="24" customHeight="1" thickBot="1" x14ac:dyDescent="0.35">
      <c r="A23" s="37" t="s">
        <v>83</v>
      </c>
      <c r="B23" s="38"/>
      <c r="C23" s="38"/>
      <c r="D23" s="35" t="e">
        <f>SUM(D17:D20,D22)</f>
        <v>#N/A</v>
      </c>
      <c r="E23" s="35" t="e">
        <f t="shared" ref="E23:I23" si="15">SUM(E17:E20,E22)</f>
        <v>#N/A</v>
      </c>
      <c r="F23" s="35" t="e">
        <f t="shared" si="15"/>
        <v>#N/A</v>
      </c>
      <c r="G23" s="35" t="e">
        <f t="shared" si="15"/>
        <v>#N/A</v>
      </c>
      <c r="H23" s="35" t="e">
        <f t="shared" si="15"/>
        <v>#N/A</v>
      </c>
      <c r="I23" s="36" t="e">
        <f t="shared" si="15"/>
        <v>#N/A</v>
      </c>
      <c r="AC23" s="19"/>
      <c r="AD23" s="1" t="s">
        <v>54</v>
      </c>
      <c r="AE23" s="14">
        <v>7</v>
      </c>
      <c r="AF23" s="27">
        <v>-5</v>
      </c>
      <c r="AG23" s="14">
        <v>14</v>
      </c>
      <c r="AH23" s="14">
        <v>14</v>
      </c>
      <c r="AK23" s="14">
        <f t="shared" si="7"/>
        <v>30</v>
      </c>
      <c r="AL23" s="15">
        <f t="shared" si="8"/>
        <v>35</v>
      </c>
      <c r="AM23" s="16">
        <f t="shared" si="9"/>
        <v>-5</v>
      </c>
      <c r="AN23" s="17">
        <f t="shared" si="10"/>
        <v>40</v>
      </c>
      <c r="AO23" s="18"/>
      <c r="AP23" s="14"/>
    </row>
    <row r="24" spans="1:42" ht="24" customHeight="1" thickTop="1" x14ac:dyDescent="0.3">
      <c r="AC24" s="19"/>
      <c r="AD24" s="1" t="s">
        <v>55</v>
      </c>
      <c r="AF24" s="14">
        <v>13</v>
      </c>
      <c r="AJ24" s="14">
        <v>26</v>
      </c>
      <c r="AK24" s="14">
        <f t="shared" si="7"/>
        <v>39</v>
      </c>
      <c r="AL24" s="15">
        <f t="shared" si="8"/>
        <v>39</v>
      </c>
      <c r="AM24" s="16">
        <f t="shared" si="9"/>
        <v>0</v>
      </c>
      <c r="AN24" s="17">
        <f t="shared" si="10"/>
        <v>39</v>
      </c>
      <c r="AO24" s="18"/>
      <c r="AP24" s="14"/>
    </row>
    <row r="25" spans="1:42" ht="24" customHeight="1" x14ac:dyDescent="0.3">
      <c r="AC25" s="19"/>
      <c r="AD25" s="1" t="s">
        <v>56</v>
      </c>
      <c r="AE25" s="14">
        <v>4</v>
      </c>
      <c r="AF25" s="14">
        <v>14</v>
      </c>
      <c r="AH25" s="14">
        <v>20</v>
      </c>
      <c r="AK25" s="14">
        <f t="shared" si="7"/>
        <v>38</v>
      </c>
      <c r="AL25" s="15">
        <f t="shared" si="8"/>
        <v>38</v>
      </c>
      <c r="AM25" s="16">
        <f t="shared" si="9"/>
        <v>0</v>
      </c>
      <c r="AN25" s="17">
        <f t="shared" si="10"/>
        <v>38</v>
      </c>
      <c r="AO25" s="18"/>
      <c r="AP25" s="14"/>
    </row>
    <row r="26" spans="1:42" ht="24" customHeight="1" x14ac:dyDescent="0.3">
      <c r="AC26" s="19"/>
      <c r="AD26" s="1" t="s">
        <v>57</v>
      </c>
      <c r="AF26" s="14">
        <v>13</v>
      </c>
      <c r="AI26" s="14">
        <v>26</v>
      </c>
      <c r="AK26" s="14">
        <f t="shared" si="7"/>
        <v>39</v>
      </c>
      <c r="AL26" s="15">
        <f t="shared" si="8"/>
        <v>39</v>
      </c>
      <c r="AM26" s="16">
        <f t="shared" si="9"/>
        <v>0</v>
      </c>
      <c r="AN26" s="17">
        <f t="shared" si="10"/>
        <v>39</v>
      </c>
      <c r="AO26" s="18"/>
      <c r="AP26" s="14"/>
    </row>
    <row r="27" spans="1:42" ht="24" customHeight="1" x14ac:dyDescent="0.3">
      <c r="AC27" s="19"/>
      <c r="AD27" s="1" t="s">
        <v>58</v>
      </c>
      <c r="AE27" s="14">
        <v>4</v>
      </c>
      <c r="AF27" s="14">
        <v>14</v>
      </c>
      <c r="AG27" s="14">
        <v>20</v>
      </c>
      <c r="AK27" s="14">
        <f t="shared" si="7"/>
        <v>38</v>
      </c>
      <c r="AL27" s="15">
        <f t="shared" si="8"/>
        <v>38</v>
      </c>
      <c r="AM27" s="16">
        <f t="shared" si="9"/>
        <v>0</v>
      </c>
      <c r="AN27" s="17">
        <f t="shared" si="10"/>
        <v>38</v>
      </c>
      <c r="AO27" s="18"/>
    </row>
    <row r="28" spans="1:42" ht="24" customHeight="1" x14ac:dyDescent="0.3">
      <c r="AC28" s="19"/>
      <c r="AD28" s="1" t="s">
        <v>61</v>
      </c>
      <c r="AF28" s="14">
        <v>8</v>
      </c>
      <c r="AG28" s="14">
        <v>16</v>
      </c>
      <c r="AH28" s="14">
        <v>16</v>
      </c>
      <c r="AK28" s="14">
        <f t="shared" si="7"/>
        <v>40</v>
      </c>
      <c r="AL28" s="15">
        <f t="shared" si="8"/>
        <v>40</v>
      </c>
      <c r="AM28" s="16">
        <f t="shared" si="9"/>
        <v>0</v>
      </c>
      <c r="AN28" s="17">
        <f t="shared" si="10"/>
        <v>40</v>
      </c>
      <c r="AO28" s="18"/>
    </row>
    <row r="29" spans="1:42" ht="24" customHeight="1" x14ac:dyDescent="0.3">
      <c r="AC29" s="19"/>
      <c r="AD29" s="1" t="s">
        <v>62</v>
      </c>
      <c r="AE29" s="14">
        <v>14</v>
      </c>
      <c r="AF29" s="14">
        <v>10</v>
      </c>
      <c r="AI29" s="14">
        <v>16</v>
      </c>
      <c r="AK29" s="14">
        <f t="shared" si="7"/>
        <v>40</v>
      </c>
      <c r="AL29" s="15">
        <f t="shared" si="8"/>
        <v>40</v>
      </c>
      <c r="AM29" s="16">
        <f t="shared" si="9"/>
        <v>0</v>
      </c>
      <c r="AN29" s="17">
        <f t="shared" si="10"/>
        <v>40</v>
      </c>
      <c r="AO29" s="18"/>
    </row>
    <row r="30" spans="1:42" ht="24" customHeight="1" x14ac:dyDescent="0.3">
      <c r="AC30" s="26"/>
      <c r="AD30" s="20" t="s">
        <v>84</v>
      </c>
      <c r="AE30" s="22"/>
      <c r="AF30" s="22">
        <v>-5</v>
      </c>
      <c r="AG30" s="22"/>
      <c r="AH30" s="22"/>
      <c r="AI30" s="22">
        <v>13</v>
      </c>
      <c r="AJ30" s="22">
        <v>13</v>
      </c>
      <c r="AK30" s="22">
        <f t="shared" si="7"/>
        <v>21</v>
      </c>
      <c r="AL30" s="23">
        <f t="shared" si="8"/>
        <v>26</v>
      </c>
      <c r="AM30" s="24">
        <f t="shared" si="9"/>
        <v>-5</v>
      </c>
      <c r="AN30" s="25">
        <f t="shared" si="10"/>
        <v>31</v>
      </c>
    </row>
  </sheetData>
  <mergeCells count="6">
    <mergeCell ref="A23:C23"/>
    <mergeCell ref="A17:B17"/>
    <mergeCell ref="A18:B18"/>
    <mergeCell ref="A19:B19"/>
    <mergeCell ref="A20:B20"/>
    <mergeCell ref="A22:C22"/>
  </mergeCells>
  <conditionalFormatting sqref="R2:AB20 AE2:AO29 AR2:BA15 AE30:AN30 D2:O13">
    <cfRule type="cellIs" dxfId="1" priority="3" operator="lessThan">
      <formula>0</formula>
    </cfRule>
    <cfRule type="cellIs" dxfId="0" priority="4" operator="greaterThan">
      <formula>0</formula>
    </cfRule>
  </conditionalFormatting>
  <dataValidations count="4">
    <dataValidation type="list" allowBlank="1" showInputMessage="1" showErrorMessage="1" sqref="C17" xr:uid="{00000000-0002-0000-0000-000000000000}">
      <formula1>$C$2:$C$13</formula1>
    </dataValidation>
    <dataValidation type="list" allowBlank="1" showInputMessage="1" showErrorMessage="1" sqref="C18" xr:uid="{00000000-0002-0000-0000-000001000000}">
      <formula1>$Q$2:$Q$20</formula1>
    </dataValidation>
    <dataValidation type="list" allowBlank="1" showInputMessage="1" showErrorMessage="1" sqref="C19" xr:uid="{00000000-0002-0000-0000-000002000000}">
      <formula1>$AD$2:$AD$30</formula1>
    </dataValidation>
    <dataValidation type="list" allowBlank="1" showInputMessage="1" showErrorMessage="1" sqref="C20" xr:uid="{00000000-0002-0000-0000-000003000000}">
      <formula1>$AQ$2:$AQ$15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ck">
                <anchor moveWithCells="1" sizeWithCells="1">
                  <from>
                    <xdr:col>9</xdr:col>
                    <xdr:colOff>365760</xdr:colOff>
                    <xdr:row>15</xdr:row>
                    <xdr:rowOff>0</xdr:rowOff>
                  </from>
                  <to>
                    <xdr:col>11</xdr:col>
                    <xdr:colOff>358140</xdr:colOff>
                    <xdr:row>16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2025-12-29T17:27:23Z</dcterms:modified>
</cp:coreProperties>
</file>